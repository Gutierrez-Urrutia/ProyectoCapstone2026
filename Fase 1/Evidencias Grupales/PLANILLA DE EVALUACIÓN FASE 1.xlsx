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8\"/>
    </mc:Choice>
  </mc:AlternateContent>
  <xr:revisionPtr revIDLastSave="0" documentId="13_ncr:1_{B9269C16-327C-47EC-BEA0-C135EF95D5C7}"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D7" i="1"/>
  <c r="B66" i="1"/>
  <c r="B65" i="1"/>
  <c r="B64" i="1"/>
  <c r="D67" i="1"/>
  <c r="J66" i="1"/>
  <c r="K66" i="1" s="1"/>
  <c r="H66" i="1"/>
  <c r="I66" i="1" s="1"/>
  <c r="F66" i="1"/>
  <c r="G66" i="1" s="1"/>
  <c r="E66" i="1"/>
  <c r="D66" i="1"/>
  <c r="K65" i="1"/>
  <c r="J65" i="1"/>
  <c r="I65" i="1"/>
  <c r="H65" i="1"/>
  <c r="F65" i="1"/>
  <c r="G65" i="1" s="1"/>
  <c r="E65" i="1"/>
  <c r="D65" i="1"/>
  <c r="J64" i="1"/>
  <c r="J67" i="1" s="1"/>
  <c r="H64" i="1"/>
  <c r="H67" i="1" s="1"/>
  <c r="G64" i="1"/>
  <c r="F64" i="1"/>
  <c r="F67" i="1" s="1"/>
  <c r="D64" i="1"/>
  <c r="E64" i="1" s="1"/>
  <c r="E67" i="1" s="1"/>
  <c r="C38"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49" i="1"/>
  <c r="B55" i="1"/>
  <c r="B54" i="1"/>
  <c r="B53" i="1"/>
  <c r="B44" i="1"/>
  <c r="B43" i="1"/>
  <c r="B42" i="1"/>
  <c r="D56" i="1"/>
  <c r="B32" i="1"/>
  <c r="B31" i="1"/>
  <c r="D31" i="1"/>
  <c r="E31" i="1" s="1"/>
  <c r="B33" i="1"/>
  <c r="J32" i="1"/>
  <c r="K32" i="1" s="1"/>
  <c r="H32" i="1"/>
  <c r="I32" i="1" s="1"/>
  <c r="F32" i="1"/>
  <c r="G32" i="1" s="1"/>
  <c r="D32" i="1"/>
  <c r="E32" i="1" s="1"/>
  <c r="B15" i="1"/>
  <c r="B16" i="1"/>
  <c r="B17" i="1"/>
  <c r="B18" i="1"/>
  <c r="B19" i="1"/>
  <c r="B20" i="1"/>
  <c r="B21" i="1"/>
  <c r="B22" i="1"/>
  <c r="B14" i="1"/>
  <c r="B13" i="1"/>
  <c r="G67" i="1" l="1"/>
  <c r="I64" i="1"/>
  <c r="I67" i="1" s="1"/>
  <c r="C67" i="1" s="1"/>
  <c r="C68" i="1" s="1"/>
  <c r="K64" i="1"/>
  <c r="K67" i="1" s="1"/>
  <c r="E56" i="1"/>
  <c r="F56" i="1"/>
  <c r="H56" i="1"/>
  <c r="J56" i="1"/>
  <c r="E34" i="1"/>
  <c r="I34" i="1"/>
  <c r="K34" i="1"/>
  <c r="G34" i="1"/>
  <c r="G56" i="1"/>
  <c r="I56" i="1"/>
  <c r="K56" i="1"/>
  <c r="E45" i="1"/>
  <c r="G45" i="1"/>
  <c r="I45" i="1"/>
  <c r="K45" i="1"/>
  <c r="D13" i="1"/>
  <c r="E13" i="1" s="1"/>
  <c r="D14" i="1"/>
  <c r="E14" i="1" s="1"/>
  <c r="D15" i="1"/>
  <c r="E15" i="1" s="1"/>
  <c r="D16" i="1"/>
  <c r="E16" i="1" s="1"/>
  <c r="D18" i="1"/>
  <c r="E18" i="1" s="1"/>
  <c r="D22" i="1"/>
  <c r="E22" i="1" s="1"/>
  <c r="F20" i="1"/>
  <c r="G20" i="1" s="1"/>
  <c r="F21" i="1"/>
  <c r="G21" i="1" s="1"/>
  <c r="C56" i="1" l="1"/>
  <c r="C45"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6" i="1" l="1"/>
  <c r="D5" i="1" s="1"/>
  <c r="C57" i="1"/>
  <c r="D6" i="1" s="1"/>
  <c r="E23" i="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<sst xmlns="http://schemas.openxmlformats.org/spreadsheetml/2006/main" count="173" uniqueCount="99">
  <si>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</si>
  <si>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</si>
  <si>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</si>
  <si>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</si>
  <si>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</si>
  <si>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</si>
  <si>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</si>
  <si>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</si>
  <si>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</si>
  <si>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</si>
  <si>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</si>
  <si>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</si>
  <si>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</si>
  <si>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</si>
  <si>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</si>
  <si>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</si>
  <si>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</si>
  <si>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</si>
  <si>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</si>
  <si>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</si>
  <si>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</si>
  <si>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</si>
  <si>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</si>
  <si>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</si>
  <si>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</si>
  <si>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</si>
  <si>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</si>
  <si>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</si>
  <si>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</si>
  <si>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</si>
  <si>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</si>
  <si>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</si>
  <si>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</si>
  <si>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</si>
  <si>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</si>
  <si>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</si>
  <si>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</si>
  <si>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</si>
  <si>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</si>
  <si>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</si>
  <si>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</si>
  <si>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</si>
  <si>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</si>
  <si>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</si>
  <si>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</si>
  <si>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</si>
  <si>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</si>
  <si>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</si>
  <si>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</si>
  <si>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</si>
  <si>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</si>
  <si>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</si>
  <si>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</si>
  <si>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</si>
  <si>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</si>
  <si>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</si>
  <si>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</si>
  <si>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</si>
  <si>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</si>
  <si>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</si>
  <si>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</si>
  <si>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</si>
  <si>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</si>
  <si>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</si>
  <si>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</si>
  <si>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</si>
  <si>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</si>
  <si>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</si>
  <si>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</si>
  <si>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</si>
  <si>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</si>
  <si>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</si>
  <si>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</si>
  <si>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</si>
  <si>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</si>
  <si>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</si>
  <si>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</si>
  <si>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</si>
  <si>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</si>
  <si>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</si>
  <si>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</si>
  <si>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</si>
  <si>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</si>
  <si>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</si>
  <si>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</si>
  <si>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</si>
  <si>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</si>
  <si>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</si>
  <si>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</si>
  <si>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</si>
  <si>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</si>
  <si>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</si>
  <si>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</si>
  <si>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</si>
  <si>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</si>
  <si>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GUTIERREZ URRUTIA, PABLO ADRIAN</t>
  </si>
  <si>
    <t>LOPEZ SILVA, HERNAN EDUARDO</t>
  </si>
  <si>
    <t>SAAVEDRA PATINO, JORGE IGNACIO</t>
  </si>
  <si>
    <t>ZUNIGA ARAYA, BARBARA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</si>
</sst>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9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0" borderId="17"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pplyProtection="1">
      <alignment horizontal="center"/>
      <protection locked="0"/>
    </xf>
    <xf numFmtId="0" fontId="0" fillId="0" borderId="32" xfId="0" applyBorder="1"/>
    <xf numFmtId="164" fontId="0" fillId="2" borderId="32" xfId="0" applyNumberFormat="1" applyFill="1" applyBorder="1" applyAlignment="1">
      <alignment horizontal="center"/>
    </xf>
    <xf numFmtId="164" fontId="0" fillId="3" borderId="32" xfId="0" applyNumberFormat="1" applyFill="1" applyBorder="1" applyAlignment="1" applyProtection="1">
      <alignment horizontal="center"/>
      <protection locked="0"/>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8"/>
  <sheetViews>
    <sheetView tabSelected="1" zoomScale="120" zoomScaleNormal="120" workbookViewId="0">
      <selection activeCell="E7" sqref="E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3">
        <v>1</v>
      </c>
    </row>
    <row r="3" spans="1:11" ht="14.4" x14ac:dyDescent="0.3">
      <c r="B3" s="3" t="s">
        <v>2</v>
      </c>
      <c r="C3" s="4" t="s">
        <v>3</v>
      </c>
      <c r="D3" s="2" t="s">
        <v>4</v>
      </c>
      <c r="E3" s="61"/>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C46</f>
        <v>7</v>
      </c>
      <c r="E5" s="51">
        <f t="shared" ref="E5:E6" si="0">C5*C$2+D5*D$2</f>
        <v>6.85</v>
      </c>
      <c r="G5" s="1"/>
    </row>
    <row r="6" spans="1:11" ht="14.4" x14ac:dyDescent="0.3">
      <c r="A6" s="5">
        <v>3</v>
      </c>
      <c r="B6" s="53" t="s">
        <v>97</v>
      </c>
      <c r="C6" s="54">
        <f>EVALUACION1!$C$24</f>
        <v>6.8</v>
      </c>
      <c r="D6" s="54">
        <f>C57</f>
        <v>7</v>
      </c>
      <c r="E6" s="55">
        <f t="shared" si="0"/>
        <v>6.85</v>
      </c>
      <c r="G6" s="1"/>
    </row>
    <row r="7" spans="1:11" ht="15" customHeight="1" x14ac:dyDescent="0.3">
      <c r="A7" s="5">
        <v>4</v>
      </c>
      <c r="B7" s="56" t="s">
        <v>98</v>
      </c>
      <c r="C7" s="57">
        <f>EVALUACION1!$C$24</f>
        <v>6.8</v>
      </c>
      <c r="D7" s="57">
        <f>C68</f>
        <v>7</v>
      </c>
      <c r="E7" s="58">
        <f t="shared" ref="E7" si="1">C7*C$2+D7*D$2</f>
        <v>6.85</v>
      </c>
    </row>
    <row r="11" spans="1:11" ht="18" outlineLevel="1" x14ac:dyDescent="0.3">
      <c r="A11" s="75" t="s">
        <v>12</v>
      </c>
      <c r="B11" s="15"/>
      <c r="C11" s="69" t="s">
        <v>13</v>
      </c>
      <c r="D11" s="70" t="s">
        <v>14</v>
      </c>
      <c r="E11" s="71"/>
      <c r="F11" s="71"/>
      <c r="G11" s="71"/>
      <c r="H11" s="71"/>
      <c r="I11" s="71"/>
      <c r="J11" s="71"/>
      <c r="K11" s="72"/>
    </row>
    <row r="12" spans="1:11" ht="14.4" outlineLevel="1" x14ac:dyDescent="0.3">
      <c r="A12" s="60"/>
      <c r="B12" s="25" t="s">
        <v>15</v>
      </c>
      <c r="C12" s="61"/>
      <c r="D12" s="70" t="s">
        <v>7</v>
      </c>
      <c r="E12" s="72"/>
      <c r="F12" s="70" t="s">
        <v>8</v>
      </c>
      <c r="G12" s="72"/>
      <c r="H12" s="74" t="s">
        <v>77</v>
      </c>
      <c r="I12" s="72"/>
      <c r="J12" s="70" t="s">
        <v>10</v>
      </c>
      <c r="K12" s="72"/>
    </row>
    <row r="13" spans="1:11" ht="24" outlineLevel="1" x14ac:dyDescent="0.3">
      <c r="A13" s="76"/>
      <c r="B13" s="41" t="str">
        <f>RUBRICA!A5</f>
        <v>1. Describe brevemente en qué consiste el Proyecto APT, justificando su relevancia para el campo laboral de su carrera.</v>
      </c>
      <c r="C13" s="39" t="s">
        <v>7</v>
      </c>
      <c r="D13" s="17" t="str">
        <f t="shared" ref="D13:D16" si="2">IF($C13=CL,"X","")</f>
        <v>X</v>
      </c>
      <c r="E13" s="17">
        <f>IF(D13="X",100*0.1,"")</f>
        <v>10</v>
      </c>
      <c r="F13" s="17" t="str">
        <f t="shared" ref="F13:F16" si="3">IF($C13=L,"X","")</f>
        <v/>
      </c>
      <c r="G13" s="17" t="str">
        <f>IF(F13="X",60*0.1,"")</f>
        <v/>
      </c>
      <c r="H13" s="17" t="str">
        <f t="shared" ref="H13:H16" si="4">IF($C13=ML,"X","")</f>
        <v/>
      </c>
      <c r="I13" s="17" t="str">
        <f>IF(H13="X",30*0.1,"")</f>
        <v/>
      </c>
      <c r="J13" s="17" t="str">
        <f t="shared" ref="J13:J16" si="5">IF($C13=NL,"X","")</f>
        <v/>
      </c>
      <c r="K13" s="17" t="str">
        <f t="shared" ref="K13:K16" si="6">IF($J13="X",0,"")</f>
        <v/>
      </c>
    </row>
    <row r="14" spans="1:11" ht="26.4" customHeight="1" outlineLevel="1" x14ac:dyDescent="0.3">
      <c r="A14" s="76"/>
      <c r="B14" s="41" t="str">
        <f>RUBRICA!A6</f>
        <v>2. Relaciona el Proyecto APT con las competencias del perfil de egreso de su Plan de Estudio.</v>
      </c>
      <c r="C14" s="39" t="s">
        <v>7</v>
      </c>
      <c r="D14" s="17" t="str">
        <f t="shared" si="2"/>
        <v>X</v>
      </c>
      <c r="E14" s="17">
        <f t="shared" ref="E14" si="7">IF(D14="X",100*0.05,"")</f>
        <v>5</v>
      </c>
      <c r="F14" s="17" t="str">
        <f t="shared" si="3"/>
        <v/>
      </c>
      <c r="G14" s="17" t="str">
        <f t="shared" ref="G14" si="8">IF(F14="X",60*0.05,"")</f>
        <v/>
      </c>
      <c r="H14" s="17" t="str">
        <f t="shared" si="4"/>
        <v/>
      </c>
      <c r="I14" s="17" t="str">
        <f t="shared" ref="I14" si="9">IF(H14="X",30*0.05,"")</f>
        <v/>
      </c>
      <c r="J14" s="17" t="str">
        <f t="shared" si="5"/>
        <v/>
      </c>
      <c r="K14" s="17" t="str">
        <f t="shared" si="6"/>
        <v/>
      </c>
    </row>
    <row r="15" spans="1:11" ht="14.4" outlineLevel="1" x14ac:dyDescent="0.3">
      <c r="A15" s="76"/>
      <c r="B15" s="41" t="str">
        <f>RUBRICA!A8</f>
        <v xml:space="preserve">4.  Argumenta por qué el proyecto es factible de realizarse en el marco de la asignatura. </v>
      </c>
      <c r="C15" s="39" t="s">
        <v>7</v>
      </c>
      <c r="D15" s="17" t="str">
        <f t="shared" si="2"/>
        <v>X</v>
      </c>
      <c r="E15" s="17">
        <f t="shared" ref="E15:E21" si="10">IF(D15="X",100*0.05,"")</f>
        <v>5</v>
      </c>
      <c r="F15" s="17" t="str">
        <f t="shared" si="3"/>
        <v/>
      </c>
      <c r="G15" s="17" t="str">
        <f t="shared" ref="G15:G21" si="11">IF(F15="X",60*0.05,"")</f>
        <v/>
      </c>
      <c r="H15" s="17" t="str">
        <f t="shared" si="4"/>
        <v/>
      </c>
      <c r="I15" s="17" t="str">
        <f t="shared" ref="I15:I21" si="12">IF(H15="X",30*0.05,"")</f>
        <v/>
      </c>
      <c r="J15" s="17" t="str">
        <f t="shared" si="5"/>
        <v/>
      </c>
      <c r="K15" s="17" t="str">
        <f t="shared" si="6"/>
        <v/>
      </c>
    </row>
    <row r="16" spans="1:11" ht="14.4" outlineLevel="1" x14ac:dyDescent="0.3">
      <c r="A16" s="76"/>
      <c r="B16" s="41" t="str">
        <f>RUBRICA!A9</f>
        <v xml:space="preserve">5. Formula objetivos claros, concisos y coherentes con la disciplina y la situación a abordar. </v>
      </c>
      <c r="C16" s="39" t="s">
        <v>8</v>
      </c>
      <c r="D16" s="17" t="str">
        <f t="shared" si="2"/>
        <v/>
      </c>
      <c r="E16" s="17" t="str">
        <f>IF(D16="X",100*0.05,"")</f>
        <v/>
      </c>
      <c r="F16" s="17" t="str">
        <f t="shared" si="3"/>
        <v>X</v>
      </c>
      <c r="G16" s="17">
        <f>IF(F16="X",60*0.05,"")</f>
        <v>3</v>
      </c>
      <c r="H16" s="17" t="str">
        <f t="shared" si="4"/>
        <v/>
      </c>
      <c r="I16" s="17" t="str">
        <f>IF(H16="X",30*0.05,"")</f>
        <v/>
      </c>
      <c r="J16" s="17" t="str">
        <f t="shared" si="5"/>
        <v/>
      </c>
      <c r="K16" s="17" t="str">
        <f t="shared" si="6"/>
        <v/>
      </c>
    </row>
    <row r="17" spans="1:11" ht="24" outlineLevel="1" x14ac:dyDescent="0.3">
      <c r="A17" s="76"/>
      <c r="B17" s="41" t="str">
        <f>RUBRICA!A10</f>
        <v>6. Propone una metodología de trabajo que permite alcanzar los objetivos propuestos y es pertinente con los requerimientos disciplinares.</v>
      </c>
      <c r="C17" s="39" t="s">
        <v>7</v>
      </c>
      <c r="D17" s="17" t="str">
        <f t="shared" ref="D17:D22" si="13">IF($C17=CL,"X","")</f>
        <v>X</v>
      </c>
      <c r="E17" s="17">
        <f t="shared" ref="E17" si="14">IF(D17="X",100*0.1,"")</f>
        <v>10</v>
      </c>
      <c r="F17" s="17" t="str">
        <f t="shared" ref="F17:F22" si="15">IF($C17=L,"X","")</f>
        <v/>
      </c>
      <c r="G17" s="17" t="str">
        <f t="shared" ref="G17" si="16">IF(F17="X",60*0.1,"")</f>
        <v/>
      </c>
      <c r="H17" s="17" t="str">
        <f t="shared" ref="H17:H22" si="17">IF($C17=ML,"X","")</f>
        <v/>
      </c>
      <c r="I17" s="17" t="str">
        <f t="shared" ref="I17" si="18">IF(H17="X",30*0.1,"")</f>
        <v/>
      </c>
      <c r="J17" s="17" t="str">
        <f t="shared" ref="J17:J22" si="19">IF($C17=NL,"X","")</f>
        <v/>
      </c>
      <c r="K17" s="17" t="str">
        <f t="shared" ref="K17:K22" si="20">IF($J17="X",0,"")</f>
        <v/>
      </c>
    </row>
    <row r="18" spans="1:11" ht="24" outlineLevel="1" x14ac:dyDescent="0.3">
      <c r="A18" s="76"/>
      <c r="B18" s="41" t="str">
        <f>RUBRICA!A11</f>
        <v xml:space="preserve">7. Establece un plan de trabajo para su proyecto APT considerando los recursos, duración, facilitadores y obstaculizadores en el desarrollo de las actividades. </v>
      </c>
      <c r="C18" s="39" t="s">
        <v>7</v>
      </c>
      <c r="D18" s="17" t="str">
        <f t="shared" si="13"/>
        <v>X</v>
      </c>
      <c r="E18" s="17">
        <f t="shared" ref="E18" si="21">IF(D18="X",100*0.1,"")</f>
        <v>10</v>
      </c>
      <c r="F18" s="17" t="str">
        <f t="shared" si="15"/>
        <v/>
      </c>
      <c r="G18" s="17" t="str">
        <f t="shared" ref="G18" si="22">IF(F18="X",60*0.1,"")</f>
        <v/>
      </c>
      <c r="H18" s="17" t="str">
        <f t="shared" si="17"/>
        <v/>
      </c>
      <c r="I18" s="17" t="str">
        <f t="shared" ref="I18" si="23">IF(H18="X",30*0.1,"")</f>
        <v/>
      </c>
      <c r="J18" s="17" t="str">
        <f t="shared" si="19"/>
        <v/>
      </c>
      <c r="K18" s="17" t="str">
        <f t="shared" si="20"/>
        <v/>
      </c>
    </row>
    <row r="19" spans="1:11" ht="24" outlineLevel="1" x14ac:dyDescent="0.3">
      <c r="A19" s="76"/>
      <c r="B19" s="41" t="str">
        <f>RUBRICA!A12</f>
        <v>8. Determina evidencias, justificando cómo estas dan cuenta del logro de las actividades del Proyecto APT.</v>
      </c>
      <c r="C19" s="39" t="s">
        <v>7</v>
      </c>
      <c r="D19" s="17" t="str">
        <f t="shared" si="13"/>
        <v>X</v>
      </c>
      <c r="E19" s="17">
        <f>IF(D19="X",100*0.05,"")</f>
        <v>5</v>
      </c>
      <c r="F19" s="17" t="str">
        <f t="shared" si="15"/>
        <v/>
      </c>
      <c r="G19" s="17" t="str">
        <f t="shared" ref="G19" si="24">IF(F19="X",60*0.05,"")</f>
        <v/>
      </c>
      <c r="H19" s="17" t="str">
        <f t="shared" si="17"/>
        <v/>
      </c>
      <c r="I19" s="17" t="str">
        <f t="shared" ref="I19" si="25">IF(H19="X",30*0.05,"")</f>
        <v/>
      </c>
      <c r="J19" s="17" t="str">
        <f t="shared" si="19"/>
        <v/>
      </c>
      <c r="K19" s="17" t="str">
        <f t="shared" si="20"/>
        <v/>
      </c>
    </row>
    <row r="20" spans="1:11" ht="24" outlineLevel="1" x14ac:dyDescent="0.3">
      <c r="A20" s="76"/>
      <c r="B20" s="41" t="str">
        <f>RUBRICA!A13</f>
        <v xml:space="preserve">9. Utiliza reglas de redacción, ortografía (literal, puntual, acentual) y las normas para citas y referencias. </v>
      </c>
      <c r="C20" s="39" t="s">
        <v>7</v>
      </c>
      <c r="D20" s="17" t="str">
        <f t="shared" si="13"/>
        <v>X</v>
      </c>
      <c r="E20" s="17">
        <f>IF(D20="X",100*0.05,"")</f>
        <v>5</v>
      </c>
      <c r="F20" s="17" t="str">
        <f t="shared" si="15"/>
        <v/>
      </c>
      <c r="G20" s="17" t="str">
        <f t="shared" si="11"/>
        <v/>
      </c>
      <c r="H20" s="17" t="str">
        <f t="shared" si="17"/>
        <v/>
      </c>
      <c r="I20" s="17" t="str">
        <f t="shared" si="12"/>
        <v/>
      </c>
      <c r="J20" s="17" t="str">
        <f t="shared" si="19"/>
        <v/>
      </c>
      <c r="K20" s="17" t="str">
        <f t="shared" si="20"/>
        <v/>
      </c>
    </row>
    <row r="21" spans="1:11" ht="22.8" customHeight="1" outlineLevel="1" x14ac:dyDescent="0.3">
      <c r="A21" s="76"/>
      <c r="B21" s="41" t="str">
        <f>RUBRICA!A14</f>
        <v>10. Cumple completando el contenido del informe de presentación del proyecto de acuerdo con la plantilla entregada.</v>
      </c>
      <c r="C21" s="39" t="s">
        <v>7</v>
      </c>
      <c r="D21" s="17" t="str">
        <f t="shared" si="13"/>
        <v>X</v>
      </c>
      <c r="E21" s="17">
        <f t="shared" si="10"/>
        <v>5</v>
      </c>
      <c r="F21" s="17" t="str">
        <f t="shared" si="15"/>
        <v/>
      </c>
      <c r="G21" s="17" t="str">
        <f t="shared" si="11"/>
        <v/>
      </c>
      <c r="H21" s="17" t="str">
        <f t="shared" si="17"/>
        <v/>
      </c>
      <c r="I21" s="17" t="str">
        <f t="shared" si="12"/>
        <v/>
      </c>
      <c r="J21" s="17" t="str">
        <f t="shared" si="19"/>
        <v/>
      </c>
      <c r="K21" s="17" t="str">
        <f t="shared" si="20"/>
        <v/>
      </c>
    </row>
    <row r="22" spans="1:11" ht="36" outlineLevel="1" x14ac:dyDescent="0.3">
      <c r="A22" s="76"/>
      <c r="B22" s="41" t="str">
        <f>RUBRICA!A16</f>
        <v>12. Desarrolla un plan de trabajo que permita del logro de los objetivos propuestos del proyecto de 
acuerdo a los tiempos para su desarrollo</v>
      </c>
      <c r="C22" s="39" t="s">
        <v>7</v>
      </c>
      <c r="D22" s="17" t="str">
        <f t="shared" si="13"/>
        <v>X</v>
      </c>
      <c r="E22" s="17">
        <f>IF(D22="X",100*0.1,"")</f>
        <v>10</v>
      </c>
      <c r="F22" s="17" t="str">
        <f t="shared" si="15"/>
        <v/>
      </c>
      <c r="G22" s="17" t="str">
        <f>IF(F22="X",60*0.1,"")</f>
        <v/>
      </c>
      <c r="H22" s="17" t="str">
        <f t="shared" si="17"/>
        <v/>
      </c>
      <c r="I22" s="17" t="str">
        <f>IF(H22="X",30*0.1,"")</f>
        <v/>
      </c>
      <c r="J22" s="17" t="str">
        <f t="shared" si="19"/>
        <v/>
      </c>
      <c r="K22" s="17" t="str">
        <f t="shared" si="20"/>
        <v/>
      </c>
    </row>
    <row r="23" spans="1:11" ht="15.75" customHeight="1" outlineLevel="1" x14ac:dyDescent="0.35">
      <c r="A23" s="60"/>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61"/>
      <c r="B24" s="43" t="s">
        <v>16</v>
      </c>
      <c r="C24" s="21">
        <f>VLOOKUP(C23,ESCALA_IEP!A2:B142,2,FALSE)</f>
        <v>6.8</v>
      </c>
    </row>
    <row r="25" spans="1:11" ht="15.75" customHeight="1" x14ac:dyDescent="0.3"/>
    <row r="26" spans="1:11" ht="15.75" customHeight="1" x14ac:dyDescent="0.3"/>
    <row r="27" spans="1:11" ht="15.75" customHeight="1" x14ac:dyDescent="0.3">
      <c r="A27" s="59" t="s">
        <v>18</v>
      </c>
      <c r="B27" s="62" t="s">
        <v>19</v>
      </c>
      <c r="C27" s="63" t="str">
        <f>$B$4</f>
        <v>GUTIERREZ URRUTIA, PABLO ADRIAN</v>
      </c>
      <c r="D27" s="64"/>
      <c r="E27" s="64"/>
      <c r="F27" s="64"/>
      <c r="G27" s="64"/>
      <c r="H27" s="64"/>
      <c r="I27" s="64"/>
      <c r="J27" s="64"/>
      <c r="K27" s="65"/>
    </row>
    <row r="28" spans="1:11" ht="15.75" customHeight="1" x14ac:dyDescent="0.3">
      <c r="A28" s="60"/>
      <c r="B28" s="61"/>
      <c r="C28" s="66"/>
      <c r="D28" s="67"/>
      <c r="E28" s="67"/>
      <c r="F28" s="67"/>
      <c r="G28" s="67"/>
      <c r="H28" s="67"/>
      <c r="I28" s="67"/>
      <c r="J28" s="67"/>
      <c r="K28" s="68"/>
    </row>
    <row r="29" spans="1:11" ht="15.75" customHeight="1" x14ac:dyDescent="0.3">
      <c r="A29" s="60"/>
      <c r="B29" s="15" t="s">
        <v>20</v>
      </c>
      <c r="C29" s="69" t="s">
        <v>13</v>
      </c>
      <c r="D29" s="70" t="s">
        <v>14</v>
      </c>
      <c r="E29" s="71"/>
      <c r="F29" s="71"/>
      <c r="G29" s="71"/>
      <c r="H29" s="71"/>
      <c r="I29" s="71"/>
      <c r="J29" s="71"/>
      <c r="K29" s="72"/>
    </row>
    <row r="30" spans="1:11" ht="15.75" customHeight="1" x14ac:dyDescent="0.3">
      <c r="A30" s="60"/>
      <c r="B30" s="16" t="s">
        <v>15</v>
      </c>
      <c r="C30" s="61"/>
      <c r="D30" s="70" t="s">
        <v>7</v>
      </c>
      <c r="E30" s="72"/>
      <c r="F30" s="70" t="s">
        <v>8</v>
      </c>
      <c r="G30" s="72"/>
      <c r="H30" s="70" t="s">
        <v>9</v>
      </c>
      <c r="I30" s="72"/>
      <c r="J30" s="70" t="s">
        <v>10</v>
      </c>
      <c r="K30" s="72"/>
    </row>
    <row r="31" spans="1:11" ht="24.6" customHeight="1" x14ac:dyDescent="0.3">
      <c r="A31" s="60"/>
      <c r="B31" s="41" t="str">
        <f>RUBRICA!A7</f>
        <v>3. Relaciona el Proyecto APT con sus intereses profesionales. *</v>
      </c>
      <c r="C31" s="39" t="s">
        <v>7</v>
      </c>
      <c r="D31" s="17" t="str">
        <f t="shared" ref="D31:D32" si="26">IF($C31=CL,"X","")</f>
        <v>X</v>
      </c>
      <c r="E31" s="17">
        <f>IF(D31="X",100*0.1,"")</f>
        <v>10</v>
      </c>
      <c r="F31" s="17" t="str">
        <f t="shared" ref="F31:F32" si="27">IF($C31=L,"X","")</f>
        <v/>
      </c>
      <c r="G31" s="17" t="str">
        <f>IF(F31="X",60*0.1,"")</f>
        <v/>
      </c>
      <c r="H31" s="17" t="str">
        <f t="shared" ref="H31:H32" si="28">IF($C31=ML,"X","")</f>
        <v/>
      </c>
      <c r="I31" s="17" t="str">
        <f>IF(H31="X",30*0.1,"")</f>
        <v/>
      </c>
      <c r="J31" s="17" t="str">
        <f t="shared" ref="J31:J32" si="29">IF($C31=NL,"X","")</f>
        <v/>
      </c>
      <c r="K31" s="17" t="str">
        <f t="shared" ref="K31:K32" si="30">IF($J31="X",0,"")</f>
        <v/>
      </c>
    </row>
    <row r="32" spans="1:11" ht="25.8" customHeight="1" x14ac:dyDescent="0.3">
      <c r="A32" s="60"/>
      <c r="B32" s="41" t="str">
        <f>RUBRICA!A15</f>
        <v>11. Expone el tema utilizando un lenguaje técnico disciplinar al presentar la propuesta y responde evidenciando un manejo de la información. *</v>
      </c>
      <c r="C32" s="39" t="s">
        <v>7</v>
      </c>
      <c r="D32" s="17" t="str">
        <f t="shared" si="26"/>
        <v>X</v>
      </c>
      <c r="E32" s="17">
        <f>IF(D32="X",100*0.1,"")</f>
        <v>10</v>
      </c>
      <c r="F32" s="17" t="str">
        <f t="shared" si="27"/>
        <v/>
      </c>
      <c r="G32" s="17" t="str">
        <f>IF(F32="X",60*0.1,"")</f>
        <v/>
      </c>
      <c r="H32" s="17" t="str">
        <f t="shared" si="28"/>
        <v/>
      </c>
      <c r="I32" s="17" t="str">
        <f>IF(H32="X",30*0.1,"")</f>
        <v/>
      </c>
      <c r="J32" s="17" t="str">
        <f t="shared" si="29"/>
        <v/>
      </c>
      <c r="K32" s="17" t="str">
        <f t="shared" si="30"/>
        <v/>
      </c>
    </row>
    <row r="33" spans="1:11" ht="14.4" x14ac:dyDescent="0.3">
      <c r="A33" s="60"/>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0"/>
      <c r="B34" s="22" t="s">
        <v>17</v>
      </c>
      <c r="C34" s="19">
        <f>E34+G34+I34+K34</f>
        <v>30</v>
      </c>
      <c r="D34" s="20"/>
      <c r="E34" s="20">
        <f>SUM(E31:E33)</f>
        <v>30</v>
      </c>
      <c r="F34" s="20"/>
      <c r="G34" s="20">
        <f t="shared" ref="G34:K34" si="31">SUM(G31:G33)</f>
        <v>0</v>
      </c>
      <c r="H34" s="20"/>
      <c r="I34" s="20">
        <f t="shared" si="31"/>
        <v>0</v>
      </c>
      <c r="J34" s="20"/>
      <c r="K34" s="20">
        <f t="shared" si="31"/>
        <v>0</v>
      </c>
    </row>
    <row r="35" spans="1:11" ht="15.75" customHeight="1" x14ac:dyDescent="0.35">
      <c r="A35" s="61"/>
      <c r="B35" s="18" t="s">
        <v>16</v>
      </c>
      <c r="C35" s="21">
        <f>VLOOKUP(C34,ESCALA_TRAB_EQUIP!A2:B62,2,FALSE)</f>
        <v>7</v>
      </c>
    </row>
    <row r="36" spans="1:11" ht="15.75" customHeight="1" x14ac:dyDescent="0.35">
      <c r="B36" s="23"/>
      <c r="C36" s="24"/>
    </row>
    <row r="37" spans="1:11" ht="15.75" customHeight="1" x14ac:dyDescent="0.3"/>
    <row r="38" spans="1:11" ht="15.75" customHeight="1" x14ac:dyDescent="0.3">
      <c r="A38" s="59" t="s">
        <v>18</v>
      </c>
      <c r="B38" s="62" t="s">
        <v>19</v>
      </c>
      <c r="C38" s="63" t="str">
        <f>B5</f>
        <v>LOPEZ SILVA, HERNAN EDUARDO</v>
      </c>
      <c r="D38" s="64"/>
      <c r="E38" s="64"/>
      <c r="F38" s="64"/>
      <c r="G38" s="64"/>
      <c r="H38" s="64"/>
      <c r="I38" s="64"/>
      <c r="J38" s="64"/>
      <c r="K38" s="65"/>
    </row>
    <row r="39" spans="1:11" ht="15.75" customHeight="1" x14ac:dyDescent="0.3">
      <c r="A39" s="60"/>
      <c r="B39" s="61"/>
      <c r="C39" s="66"/>
      <c r="D39" s="67"/>
      <c r="E39" s="67"/>
      <c r="F39" s="67"/>
      <c r="G39" s="67"/>
      <c r="H39" s="67"/>
      <c r="I39" s="67"/>
      <c r="J39" s="67"/>
      <c r="K39" s="68"/>
    </row>
    <row r="40" spans="1:11" ht="15.75" customHeight="1" x14ac:dyDescent="0.3">
      <c r="A40" s="60"/>
      <c r="B40" s="15" t="s">
        <v>20</v>
      </c>
      <c r="C40" s="69" t="s">
        <v>13</v>
      </c>
      <c r="D40" s="70" t="s">
        <v>14</v>
      </c>
      <c r="E40" s="71"/>
      <c r="F40" s="71"/>
      <c r="G40" s="71"/>
      <c r="H40" s="71"/>
      <c r="I40" s="71"/>
      <c r="J40" s="71"/>
      <c r="K40" s="72"/>
    </row>
    <row r="41" spans="1:11" ht="15.75" customHeight="1" x14ac:dyDescent="0.3">
      <c r="A41" s="60"/>
      <c r="B41" s="16" t="s">
        <v>15</v>
      </c>
      <c r="C41" s="61"/>
      <c r="D41" s="70" t="s">
        <v>7</v>
      </c>
      <c r="E41" s="72"/>
      <c r="F41" s="70" t="s">
        <v>8</v>
      </c>
      <c r="G41" s="72"/>
      <c r="H41" s="70" t="s">
        <v>9</v>
      </c>
      <c r="I41" s="72"/>
      <c r="J41" s="70" t="s">
        <v>10</v>
      </c>
      <c r="K41" s="72"/>
    </row>
    <row r="42" spans="1:11" ht="25.8" customHeight="1" x14ac:dyDescent="0.3">
      <c r="A42" s="60"/>
      <c r="B42" s="41" t="str">
        <f>RUBRICA!A7</f>
        <v>3. Relaciona el Proyecto APT con sus intereses profesionales. *</v>
      </c>
      <c r="C42" s="39"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4" x14ac:dyDescent="0.3">
      <c r="A43" s="60"/>
      <c r="B43" s="41" t="str">
        <f>RUBRICA!A15</f>
        <v>11. Expone el tema utilizando un lenguaje técnico disciplinar al presentar la propuesta y responde evidenciando un manejo de la información. *</v>
      </c>
      <c r="C43" s="39"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3">
      <c r="A44" s="60"/>
      <c r="B44" s="41" t="str">
        <f>RUBRICA!A17</f>
        <v>13. Colaboración y trabajo en equipo *</v>
      </c>
      <c r="C44" s="39"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35">
      <c r="A45" s="60"/>
      <c r="B45" s="22" t="s">
        <v>17</v>
      </c>
      <c r="C45" s="19">
        <f>E45+G45+I45+K45</f>
        <v>30</v>
      </c>
      <c r="D45" s="20"/>
      <c r="E45" s="20">
        <f>SUM(E42:E44)</f>
        <v>30</v>
      </c>
      <c r="F45" s="20"/>
      <c r="G45" s="20">
        <f t="shared" ref="G45" si="37">SUM(G42:G44)</f>
        <v>0</v>
      </c>
      <c r="H45" s="20"/>
      <c r="I45" s="20">
        <f t="shared" ref="I45" si="38">SUM(I42:I44)</f>
        <v>0</v>
      </c>
      <c r="J45" s="20"/>
      <c r="K45" s="20">
        <f t="shared" ref="K45" si="39">SUM(K42:K44)</f>
        <v>0</v>
      </c>
    </row>
    <row r="46" spans="1:11" ht="15.75" customHeight="1" x14ac:dyDescent="0.35">
      <c r="A46" s="61"/>
      <c r="B46" s="18" t="s">
        <v>16</v>
      </c>
      <c r="C46" s="21">
        <f>VLOOKUP(C45,ESCALA_TRAB_EQUIP!A2:B62,2,FALSE)</f>
        <v>7</v>
      </c>
    </row>
    <row r="47" spans="1:11" ht="15.75" customHeight="1" x14ac:dyDescent="0.35">
      <c r="B47" s="23"/>
      <c r="C47" s="24"/>
    </row>
    <row r="48" spans="1:11" ht="15.75" customHeight="1" x14ac:dyDescent="0.35">
      <c r="B48" s="23"/>
      <c r="C48" s="24"/>
    </row>
    <row r="49" spans="1:11" ht="15.75" customHeight="1" x14ac:dyDescent="0.3">
      <c r="A49" s="59" t="s">
        <v>18</v>
      </c>
      <c r="B49" s="62" t="s">
        <v>19</v>
      </c>
      <c r="C49" s="63" t="str">
        <f>B6</f>
        <v>SAAVEDRA PATINO, JORGE IGNACIO</v>
      </c>
      <c r="D49" s="64"/>
      <c r="E49" s="64"/>
      <c r="F49" s="64"/>
      <c r="G49" s="64"/>
      <c r="H49" s="64"/>
      <c r="I49" s="64"/>
      <c r="J49" s="64"/>
      <c r="K49" s="65"/>
    </row>
    <row r="50" spans="1:11" ht="15.75" customHeight="1" x14ac:dyDescent="0.3">
      <c r="A50" s="60"/>
      <c r="B50" s="61"/>
      <c r="C50" s="66"/>
      <c r="D50" s="67"/>
      <c r="E50" s="67"/>
      <c r="F50" s="67"/>
      <c r="G50" s="67"/>
      <c r="H50" s="67"/>
      <c r="I50" s="67"/>
      <c r="J50" s="67"/>
      <c r="K50" s="68"/>
    </row>
    <row r="51" spans="1:11" ht="15.75" customHeight="1" x14ac:dyDescent="0.3">
      <c r="A51" s="60"/>
      <c r="B51" s="15" t="s">
        <v>20</v>
      </c>
      <c r="C51" s="69" t="s">
        <v>13</v>
      </c>
      <c r="D51" s="70" t="s">
        <v>14</v>
      </c>
      <c r="E51" s="71"/>
      <c r="F51" s="71"/>
      <c r="G51" s="71"/>
      <c r="H51" s="71"/>
      <c r="I51" s="71"/>
      <c r="J51" s="71"/>
      <c r="K51" s="72"/>
    </row>
    <row r="52" spans="1:11" ht="15.75" customHeight="1" x14ac:dyDescent="0.3">
      <c r="A52" s="60"/>
      <c r="B52" s="16" t="s">
        <v>15</v>
      </c>
      <c r="C52" s="61"/>
      <c r="D52" s="70" t="s">
        <v>7</v>
      </c>
      <c r="E52" s="72"/>
      <c r="F52" s="70" t="s">
        <v>8</v>
      </c>
      <c r="G52" s="72"/>
      <c r="H52" s="70" t="s">
        <v>9</v>
      </c>
      <c r="I52" s="72"/>
      <c r="J52" s="70" t="s">
        <v>10</v>
      </c>
      <c r="K52" s="72"/>
    </row>
    <row r="53" spans="1:11" ht="25.8" customHeight="1" x14ac:dyDescent="0.3">
      <c r="A53" s="60"/>
      <c r="B53" s="41" t="str">
        <f>RUBRICA!A7</f>
        <v>3. Relaciona el Proyecto APT con sus intereses profesionales. *</v>
      </c>
      <c r="C53" s="39"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4" x14ac:dyDescent="0.3">
      <c r="A54" s="60"/>
      <c r="B54" s="41" t="str">
        <f>RUBRICA!A15</f>
        <v>11. Expone el tema utilizando un lenguaje técnico disciplinar al presentar la propuesta y responde evidenciando un manejo de la información. *</v>
      </c>
      <c r="C54" s="39"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3">
      <c r="A55" s="60"/>
      <c r="B55" s="41" t="str">
        <f>RUBRICA!A17</f>
        <v>13. Colaboración y trabajo en equipo *</v>
      </c>
      <c r="C55" s="39"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35">
      <c r="A56" s="60"/>
      <c r="B56" s="22" t="s">
        <v>17</v>
      </c>
      <c r="C56" s="19">
        <f>E56+G56+I56+K56</f>
        <v>30</v>
      </c>
      <c r="D56" s="20">
        <f>COUNTIF(D54:D55,"X")</f>
        <v>2</v>
      </c>
      <c r="E56" s="20">
        <f>SUM(E53:E55)</f>
        <v>30</v>
      </c>
      <c r="F56" s="20">
        <f t="shared" ref="F56" si="45">SUM(F53:F55)</f>
        <v>0</v>
      </c>
      <c r="G56" s="20">
        <f t="shared" ref="G56" si="46">SUM(G53:G55)</f>
        <v>0</v>
      </c>
      <c r="H56" s="20">
        <f t="shared" ref="H56" si="47">SUM(H53:H55)</f>
        <v>0</v>
      </c>
      <c r="I56" s="20">
        <f t="shared" ref="I56" si="48">SUM(I53:I55)</f>
        <v>0</v>
      </c>
      <c r="J56" s="20">
        <f t="shared" ref="J56" si="49">SUM(J53:J55)</f>
        <v>0</v>
      </c>
      <c r="K56" s="20">
        <f t="shared" ref="K56" si="50">SUM(K53:K55)</f>
        <v>0</v>
      </c>
    </row>
    <row r="57" spans="1:11" ht="15.75" customHeight="1" x14ac:dyDescent="0.35">
      <c r="A57" s="61"/>
      <c r="B57" s="18" t="s">
        <v>16</v>
      </c>
      <c r="C57" s="21">
        <f>VLOOKUP(C56,ESCALA_TRAB_EQUIP!A2:B62,2,FALSE)</f>
        <v>7</v>
      </c>
    </row>
    <row r="58" spans="1:11" ht="15.75" customHeight="1" x14ac:dyDescent="0.35">
      <c r="B58" s="23"/>
      <c r="C58" s="24"/>
    </row>
    <row r="59" spans="1:11" ht="15.75" customHeight="1" x14ac:dyDescent="0.3"/>
    <row r="60" spans="1:11" ht="15.75" customHeight="1" x14ac:dyDescent="0.3">
      <c r="A60" s="59" t="s">
        <v>18</v>
      </c>
      <c r="B60" s="62" t="s">
        <v>19</v>
      </c>
      <c r="C60" s="63" t="str">
        <f>B7</f>
        <v>ZUNIGA ARAYA, BARBARA</v>
      </c>
      <c r="D60" s="64"/>
      <c r="E60" s="64"/>
      <c r="F60" s="64"/>
      <c r="G60" s="64"/>
      <c r="H60" s="64"/>
      <c r="I60" s="64"/>
      <c r="J60" s="64"/>
      <c r="K60" s="65"/>
    </row>
    <row r="61" spans="1:11" ht="15.75" customHeight="1" x14ac:dyDescent="0.3">
      <c r="A61" s="60"/>
      <c r="B61" s="61"/>
      <c r="C61" s="66"/>
      <c r="D61" s="67"/>
      <c r="E61" s="67"/>
      <c r="F61" s="67"/>
      <c r="G61" s="67"/>
      <c r="H61" s="67"/>
      <c r="I61" s="67"/>
      <c r="J61" s="67"/>
      <c r="K61" s="68"/>
    </row>
    <row r="62" spans="1:11" ht="15.75" customHeight="1" x14ac:dyDescent="0.3">
      <c r="A62" s="60"/>
      <c r="B62" s="15" t="s">
        <v>20</v>
      </c>
      <c r="C62" s="69" t="s">
        <v>13</v>
      </c>
      <c r="D62" s="70" t="s">
        <v>14</v>
      </c>
      <c r="E62" s="71"/>
      <c r="F62" s="71"/>
      <c r="G62" s="71"/>
      <c r="H62" s="71"/>
      <c r="I62" s="71"/>
      <c r="J62" s="71"/>
      <c r="K62" s="72"/>
    </row>
    <row r="63" spans="1:11" ht="15.75" customHeight="1" x14ac:dyDescent="0.3">
      <c r="A63" s="60"/>
      <c r="B63" s="16" t="s">
        <v>15</v>
      </c>
      <c r="C63" s="61"/>
      <c r="D63" s="70" t="s">
        <v>7</v>
      </c>
      <c r="E63" s="72"/>
      <c r="F63" s="70" t="s">
        <v>8</v>
      </c>
      <c r="G63" s="72"/>
      <c r="H63" s="70" t="s">
        <v>9</v>
      </c>
      <c r="I63" s="72"/>
      <c r="J63" s="70" t="s">
        <v>10</v>
      </c>
      <c r="K63" s="72"/>
    </row>
    <row r="64" spans="1:11" ht="25.8" customHeight="1" x14ac:dyDescent="0.3">
      <c r="A64" s="60"/>
      <c r="B64" s="41" t="str">
        <f>RUBRICA!A7</f>
        <v>3. Relaciona el Proyecto APT con sus intereses profesionales. *</v>
      </c>
      <c r="C64" s="39"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24" x14ac:dyDescent="0.3">
      <c r="A65" s="60"/>
      <c r="B65" s="41" t="str">
        <f>RUBRICA!A15</f>
        <v>11. Expone el tema utilizando un lenguaje técnico disciplinar al presentar la propuesta y responde evidenciando un manejo de la información. *</v>
      </c>
      <c r="C65" s="39"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3">
      <c r="A66" s="60"/>
      <c r="B66" s="41" t="str">
        <f>RUBRICA!A17</f>
        <v>13. Colaboración y trabajo en equipo *</v>
      </c>
      <c r="C66" s="39"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35">
      <c r="A67" s="60"/>
      <c r="B67" s="22" t="s">
        <v>17</v>
      </c>
      <c r="C67" s="19">
        <f>E67+G67+I67+K67</f>
        <v>30</v>
      </c>
      <c r="D67" s="20">
        <f>COUNTIF(D65:D66,"X")</f>
        <v>2</v>
      </c>
      <c r="E67" s="20">
        <f>SUM(E64:E66)</f>
        <v>30</v>
      </c>
      <c r="F67" s="20">
        <f t="shared" ref="F67:K67" si="56">SUM(F64:F66)</f>
        <v>0</v>
      </c>
      <c r="G67" s="20">
        <f t="shared" si="56"/>
        <v>0</v>
      </c>
      <c r="H67" s="20">
        <f t="shared" si="56"/>
        <v>0</v>
      </c>
      <c r="I67" s="20">
        <f t="shared" si="56"/>
        <v>0</v>
      </c>
      <c r="J67" s="20">
        <f t="shared" si="56"/>
        <v>0</v>
      </c>
      <c r="K67" s="20">
        <f t="shared" si="56"/>
        <v>0</v>
      </c>
    </row>
    <row r="68" spans="1:11" ht="15.75" customHeight="1" x14ac:dyDescent="0.35">
      <c r="A68" s="61"/>
      <c r="B68" s="18" t="s">
        <v>16</v>
      </c>
      <c r="C68" s="21">
        <f>VLOOKUP(C67,ESCALA_TRAB_EQUIP!A13:B73,2,FALSE)</f>
        <v>7</v>
      </c>
    </row>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sheetData>
  <mergeCells count="44">
    <mergeCell ref="B49:B50"/>
    <mergeCell ref="C51:C52"/>
    <mergeCell ref="C49:K50"/>
    <mergeCell ref="J52:K52"/>
    <mergeCell ref="A49:A57"/>
    <mergeCell ref="H30:I30"/>
    <mergeCell ref="J30:K30"/>
    <mergeCell ref="D51:K51"/>
    <mergeCell ref="D52:E52"/>
    <mergeCell ref="F52:G52"/>
    <mergeCell ref="H52:I52"/>
    <mergeCell ref="A38:A46"/>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C53:C55 C42:C44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80" t="s">
        <v>21</v>
      </c>
      <c r="B2" s="83" t="s">
        <v>22</v>
      </c>
      <c r="C2" s="84"/>
      <c r="D2" s="84"/>
      <c r="E2" s="85"/>
      <c r="F2" s="80" t="s">
        <v>23</v>
      </c>
    </row>
    <row r="3" spans="1:6" x14ac:dyDescent="0.3">
      <c r="A3" s="81"/>
      <c r="B3" s="86" t="s">
        <v>24</v>
      </c>
      <c r="C3" s="86" t="s">
        <v>25</v>
      </c>
      <c r="D3" s="26" t="s">
        <v>26</v>
      </c>
      <c r="E3" s="28" t="s">
        <v>10</v>
      </c>
      <c r="F3" s="81"/>
    </row>
    <row r="4" spans="1:6" ht="57.6" customHeight="1" thickBot="1" x14ac:dyDescent="0.35">
      <c r="A4" s="82"/>
      <c r="B4" s="87"/>
      <c r="C4" s="87"/>
      <c r="D4" s="27">
        <v>-0.3</v>
      </c>
      <c r="E4" s="27">
        <v>0</v>
      </c>
      <c r="F4" s="82"/>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7" t="s">
        <v>71</v>
      </c>
      <c r="B18" s="78"/>
      <c r="C18" s="78"/>
      <c r="D18" s="78"/>
      <c r="E18" s="79"/>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8" t="s">
        <v>5</v>
      </c>
      <c r="B1" s="7" t="s">
        <v>6</v>
      </c>
      <c r="C1" s="8"/>
      <c r="D1" s="8"/>
      <c r="E1" s="9"/>
    </row>
    <row r="2" spans="1:5" ht="43.8" thickBot="1" x14ac:dyDescent="0.35">
      <c r="A2" s="89"/>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2026-09-26T16:20:16Z</dcterms:modified>
</cp:coreProperties>
</file>