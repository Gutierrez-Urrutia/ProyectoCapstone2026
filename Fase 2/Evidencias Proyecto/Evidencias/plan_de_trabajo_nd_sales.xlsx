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Trabajo" sheetId="1" state="visible" r:id="rId3"/>
    <sheet name="Resumen" sheetId="2" state="visible" r:id="rId4"/>
  </sheets>
  <definedNames>
    <definedName function="false" hidden="true" localSheetId="0" name="_xlnm._FilterDatabase" vbProcedure="false">'Plan de Trabajo'!$A$1:$H$80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<sst xmlns="http://schemas.openxmlformats.org/spreadsheetml/2006/main" count="657" uniqueCount="235">
  <si>
    <t xml:space="preserve">Competencia o unidades de competencias</t>
  </si>
  <si>
    <t xml:space="preserve">Actividades</t>
  </si>
  <si>
    <t xml:space="preserve">Recursos</t>
  </si>
  <si>
    <t xml:space="preserve">Duración de la actividad</t>
  </si>
  <si>
    <t xml:space="preserve">Responsable</t>
  </si>
  <si>
    <t xml:space="preserve">Observaciones</t>
  </si>
  <si>
    <t xml:space="preserve">Estado de avance</t>
  </si>
  <si>
    <t xml:space="preserve">Ajustes</t>
  </si>
  <si>
    <t xml:space="preserve">Desarrollo de interfaces de usuario (frontend)</t>
  </si>
  <si>
    <t xml:space="preserve">Flujo guiado y mockups (wireframe v3) (RF-VTA-01)</t>
  </si>
  <si>
    <t xml:space="preserve">Frontend web, Vitest, GitHub</t>
  </si>
  <si>
    <t xml:space="preserve">14-09-2026 al 07-11-2026</t>
  </si>
  <si>
    <t xml:space="preserve">Jorge Saavedra</t>
  </si>
  <si>
    <t xml:space="preserve">Facilitó: PA-17 aprobado: flujo de 3 pasos operativo.</t>
  </si>
  <si>
    <t xml:space="preserve">Completado</t>
  </si>
  <si>
    <t xml:space="preserve">Sin ajustes</t>
  </si>
  <si>
    <t xml:space="preserve">Pantallas de los 3 pasos con validaciones (RF-VTA-01)</t>
  </si>
  <si>
    <t xml:space="preserve">Facilitó: PA-17 y PA-21 aprobados en la app real.</t>
  </si>
  <si>
    <t xml:space="preserve">Integración de IA generativa (RAG)</t>
  </si>
  <si>
    <t xml:space="preserve">Prompt y servicio de generación (RF-VTA-01)</t>
  </si>
  <si>
    <t xml:space="preserve">DeepSeek (RAG), FastAPI, Firestore</t>
  </si>
  <si>
    <t xml:space="preserve">Facilitó: PA-13 a PA-16 aprobados; no copia datos de otros clientes.</t>
  </si>
  <si>
    <t xml:space="preserve">Pantalla de revisión y edición del borrador (RF-VTA-01)</t>
  </si>
  <si>
    <t xml:space="preserve">Facilitó: PA-22 aprobado: edita, guarda y reabre sin duplicar.</t>
  </si>
  <si>
    <t xml:space="preserve">Manejo de errores del proveedor de IA (RF-VTA-01)</t>
  </si>
  <si>
    <t xml:space="preserve">Facilitó: PA-20 aprobado: tarea fallida y propuesta en error.</t>
  </si>
  <si>
    <t xml:space="preserve">Contexto dinámico en vez de contexto fijo (RF-VTA-01)</t>
  </si>
  <si>
    <t xml:space="preserve">Facilitó: PA-10 a PA-12 aprobados. Dificultad: falta ejecutar CP-004.</t>
  </si>
  <si>
    <t xml:space="preserve">En curso</t>
  </si>
  <si>
    <t xml:space="preserve">Se reemplazó el contexto fijo de ciberseguridad heredado por contexto dinámico según cliente y servicio (R-11).</t>
  </si>
  <si>
    <t xml:space="preserve">Desarrollo de software backend y APIs</t>
  </si>
  <si>
    <t xml:space="preserve">Generación asíncrona con avance y aviso (RF-VTA-01)</t>
  </si>
  <si>
    <t xml:space="preserve">FastAPI, Firestore, Pytest, GitHub</t>
  </si>
  <si>
    <t xml:space="preserve">Facilitó: PA-18 a PA-21 aprobados; fallback si cae la cola.</t>
  </si>
  <si>
    <t xml:space="preserve">Si falla la cola, la operación se completa de forma directa (RNF-VTA-06).</t>
  </si>
  <si>
    <t xml:space="preserve">Aseguramiento de calidad y pruebas de software</t>
  </si>
  <si>
    <t xml:space="preserve">Ejecutar pruebas pendientes de RF-VTA-01</t>
  </si>
  <si>
    <t xml:space="preserve">Pytest, DeepSeek, entorno de staging</t>
  </si>
  <si>
    <t xml:space="preserve">Casos de prueba: CP-004, CP-100 y CP-101 (límites de carga y E2E real).</t>
  </si>
  <si>
    <t xml:space="preserve">Medir tiempos por extensión y fijar meta (RF-VTA-01/RNF-VTA-03)</t>
  </si>
  <si>
    <t xml:space="preserve">Dificultad: la meta de 60 s es solo una hipótesis hasta medir los tiempos reales.</t>
  </si>
  <si>
    <t xml:space="preserve">La meta se fijará con la medición base; el umbral de 60 s es provisorio y revisable.</t>
  </si>
  <si>
    <t xml:space="preserve">Modelamiento y gestión de datos</t>
  </si>
  <si>
    <t xml:space="preserve">Cargar propuestas BPO históricas reales (RF-VTA-01)</t>
  </si>
  <si>
    <t xml:space="preserve">Insumos del cliente (vía Alloxentric), Firestore</t>
  </si>
  <si>
    <t xml:space="preserve">Sin asignar</t>
  </si>
  <si>
    <t xml:space="preserve">Dificultad: depende de un insumo del cliente (plazo 23-10), que llega solo a través de Alloxentric. Sin responsable asignado.</t>
  </si>
  <si>
    <t xml:space="preserve">Con retraso</t>
  </si>
  <si>
    <t xml:space="preserve">Se usa contexto de prueba, marcado como no validado con propuestas BPO, hasta recibir las reales.</t>
  </si>
  <si>
    <t xml:space="preserve">Flujos: casos de éxito, comparativas, objeciones (RF-VTA-08)</t>
  </si>
  <si>
    <t xml:space="preserve">12-10-2026 al 21-11-2026</t>
  </si>
  <si>
    <t xml:space="preserve">Facilitó: 36/36 casos aprobados.</t>
  </si>
  <si>
    <t xml:space="preserve">Fuente de datos: propuestas y casos cargados (RF-VTA-08)</t>
  </si>
  <si>
    <t xml:space="preserve">Firestore, scripts de datos</t>
  </si>
  <si>
    <t xml:space="preserve">Facilitó: usa solo documentos del propio usuario (CP-25).</t>
  </si>
  <si>
    <t xml:space="preserve">Guardrails: citar fuente o avisar falta de datos (RF-VTA-08)</t>
  </si>
  <si>
    <t xml:space="preserve">Facilitó: sin datos inventados; 422 si no hay información.</t>
  </si>
  <si>
    <t xml:space="preserve">Pruebas con datos ausentes (RF-VTA-08)</t>
  </si>
  <si>
    <t xml:space="preserve">Pytest, Vitest, matriz de trazabilidad (Excel)</t>
  </si>
  <si>
    <t xml:space="preserve">Facilitó: aprobadas; 7 defectos corregidos.</t>
  </si>
  <si>
    <t xml:space="preserve">Integración de sistemas</t>
  </si>
  <si>
    <t xml:space="preserve">Mapeo de campos propuesta/cliente a CRM (RF-VTA-04)</t>
  </si>
  <si>
    <t xml:space="preserve">HubSpot y Salesforce (cuentas de desarrollo), FastAPI</t>
  </si>
  <si>
    <t xml:space="preserve">Pablo Gutiérrez</t>
  </si>
  <si>
    <t xml:space="preserve">Facilitó: CP-016 y CP-017 aprobados (HubSpot y Salesforce).</t>
  </si>
  <si>
    <t xml:space="preserve">Sincronización en un solo sentido, de la propuesta hacia el CRM (D-03).</t>
  </si>
  <si>
    <t xml:space="preserve">Pruebas en HubSpot y Salesforce de desarrollo (RF-VTA-04)</t>
  </si>
  <si>
    <t xml:space="preserve">HubSpot y Salesforce (cuentas de desarrollo), Pytest</t>
  </si>
  <si>
    <t xml:space="preserve">19-10-2026 al 28-11-2026</t>
  </si>
  <si>
    <t xml:space="preserve">Facilitó: probado con cuentas dev reales el 22-10.</t>
  </si>
  <si>
    <t xml:space="preserve">ID externo y upsert idempotente (RF-VTA-04)</t>
  </si>
  <si>
    <t xml:space="preserve">Facilitó: CP-018 y CP-115 aprobados: el reenvío no duplica.</t>
  </si>
  <si>
    <t xml:space="preserve">Errores de sincronización visibles y reintento (RF-VTA-04)</t>
  </si>
  <si>
    <t xml:space="preserve">Facilitó: CP-019 y CP-114 aprobados; el error queda en crmSync.</t>
  </si>
  <si>
    <t xml:space="preserve">Timeouts y caídas del CRM (RF-VTA-04)</t>
  </si>
  <si>
    <t xml:space="preserve">Facilitó: CP-112 y CP-113 aprobados.</t>
  </si>
  <si>
    <t xml:space="preserve">Gestión de proyectos y despliegue</t>
  </si>
  <si>
    <t xml:space="preserve">Commit, despliegue y aceptación del CRM (RF-VTA-04)</t>
  </si>
  <si>
    <t xml:space="preserve">GitHub, Vercel, entorno de staging</t>
  </si>
  <si>
    <t xml:space="preserve">Dificultad: correcciones sin commit; falta despliegue y aceptación.</t>
  </si>
  <si>
    <t xml:space="preserve">Probar con cuentas productivas del cliente (RF-VTA-04)</t>
  </si>
  <si>
    <t xml:space="preserve">Cuentas productivas del cliente (vía Alloxentric), Pytest</t>
  </si>
  <si>
    <t xml:space="preserve">Dificultad: las cuentas productivas dependen del cliente; hasta ahora solo se probó con cuentas de desarrollo. Sin responsable asignado.</t>
  </si>
  <si>
    <t xml:space="preserve">No iniciado</t>
  </si>
  <si>
    <t xml:space="preserve">Se verificó con cuentas de desarrollo propias; se repetirá con la cuenta del cliente en la aceptación.</t>
  </si>
  <si>
    <t xml:space="preserve">Máquina de estados y matriz de transiciones (RF-VTA-05)</t>
  </si>
  <si>
    <t xml:space="preserve">Hernán López</t>
  </si>
  <si>
    <t xml:space="preserve">Facilitó: CP-022 y CP-118 aprobados (8 transiciones válidas).</t>
  </si>
  <si>
    <t xml:space="preserve">Lista única de 6 estados (backend y frontend) (RF-VTA-05)</t>
  </si>
  <si>
    <t xml:space="preserve">Facilitó: CP-021 y CP-121 aprobados.</t>
  </si>
  <si>
    <t xml:space="preserve">Validar transiciones y marcar 'Vista' a mano (RF-VTA-05)</t>
  </si>
  <si>
    <t xml:space="preserve">Facilitó: CP-023 y CP-027 aprobados; inválidas responden 409.</t>
  </si>
  <si>
    <t xml:space="preserve">Score de propuesta separado del de oportunidad (RF-VTA-05)</t>
  </si>
  <si>
    <t xml:space="preserve">Facilitó: CP-026 aprobado: el estado ya no cambia el score.</t>
  </si>
  <si>
    <t xml:space="preserve">Migrar propuestas existentes (equivalencias D-01) (RF-VTA-05)</t>
  </si>
  <si>
    <t xml:space="preserve">Dificultad: el equipo la marcó como terminada, pero aún no hay evidencia en la matriz de trazabilidad.</t>
  </si>
  <si>
    <t xml:space="preserve">Se aplican las equivalencias de estado D-01 (por ejemplo, Generada = Borrador).</t>
  </si>
  <si>
    <t xml:space="preserve">Cerrar defectos RF05-D-001 y RF05-D-002 (RF-VTA-05)</t>
  </si>
  <si>
    <t xml:space="preserve">Dificultad: dos defectos menores abiertos.</t>
  </si>
  <si>
    <t xml:space="preserve">Acordar transiciones con Alloxentric (D-12) (RF-VTA-05)</t>
  </si>
  <si>
    <t xml:space="preserve">Reunión semanal con Alloxentric, registro de cambios</t>
  </si>
  <si>
    <t xml:space="preserve">Dificultad: decisión del equipo, pendiente de acordar y registrar.</t>
  </si>
  <si>
    <t xml:space="preserve">Registrada como decisión D-12; los cambios de alcance siguen el Plan de Gestión de Cambios.</t>
  </si>
  <si>
    <t xml:space="preserve">Estado Firmada con documento adjunto (RF-VTA-06)</t>
  </si>
  <si>
    <t xml:space="preserve">Alcance reducido a marcar Firmada con documento adjunto (0 de 6 casos ejecutados). Sin responsable asignado.</t>
  </si>
  <si>
    <t xml:space="preserve">Ajustada</t>
  </si>
  <si>
    <t xml:space="preserve">Firma electrónica con proveedor diferida (D-04); se reemplazó por registrar la propuesta como Firmada con documento adjunto.</t>
  </si>
  <si>
    <t xml:space="preserve">Historial de versiones con fecha y autor (RF-VTA-11)</t>
  </si>
  <si>
    <t xml:space="preserve">Prioridad baja (Could): 0 de 5 casos ejecutados y primera en el orden de recorte si la capacidad no alcanza. Sin responsable asignado.</t>
  </si>
  <si>
    <t xml:space="preserve">Modelo de datos del servicio (RF-VTA-02)</t>
  </si>
  <si>
    <t xml:space="preserve">Bárbara Zúñiga</t>
  </si>
  <si>
    <t xml:space="preserve">Dificultad: hoy solo existen líneas de precio en schemas/proposal.py; el modelo del servicio debe crearse.</t>
  </si>
  <si>
    <t xml:space="preserve">CRUD de servicios con desactivación (RF-VTA-02)</t>
  </si>
  <si>
    <t xml:space="preserve">Casos de prueba: CP-006, 007, 009 y 102. Sin responsable asignado.</t>
  </si>
  <si>
    <t xml:space="preserve">Pantalla de administración del catálogo (RF-VTA-02)</t>
  </si>
  <si>
    <t xml:space="preserve">Búsqueda y filtro activos/inactivos (CP-105). Sin responsable asignado.</t>
  </si>
  <si>
    <t xml:space="preserve">Carga inicial del catálogo de NoonDalton (RF-VTA-02)</t>
  </si>
  <si>
    <t xml:space="preserve">Se trabaja con un catálogo provisorio, documentado como tal, hasta recibir el real.</t>
  </si>
  <si>
    <t xml:space="preserve">Selector de servicios con precarga y ajuste (RF-VTA-02)</t>
  </si>
  <si>
    <t xml:space="preserve">CP-008 y CP-106: precarga, ajuste y total. Sin responsable asignado.</t>
  </si>
  <si>
    <t xml:space="preserve">Cálculo de totales (RF-VTA-02)</t>
  </si>
  <si>
    <t xml:space="preserve">Total = cantidad por precio; sin mezclar monedas (CP-104). Sin responsable asignado.</t>
  </si>
  <si>
    <t xml:space="preserve">Seguridad y control de acceso</t>
  </si>
  <si>
    <t xml:space="preserve">Precios editables solo por manager y admin (RF-VTA-02)</t>
  </si>
  <si>
    <t xml:space="preserve">FastAPI, roles admin/manager/user, Pytest</t>
  </si>
  <si>
    <t xml:space="preserve">CP-010: el rol user recibe 403. Sin responsable asignado.</t>
  </si>
  <si>
    <t xml:space="preserve">Snapshot de precios al emitir la propuesta (RF-VTA-02)</t>
  </si>
  <si>
    <t xml:space="preserve">CP-011: la propuesta emitida conserva su precio. Sin responsable asignado.</t>
  </si>
  <si>
    <t xml:space="preserve">Industria y tamaño en el cliente (RF-VTA-03)</t>
  </si>
  <si>
    <t xml:space="preserve">Dificultad: falta definir las listas de valores de industria y tamaño (CP-012 y CP-107).</t>
  </si>
  <si>
    <t xml:space="preserve">Formulario de cliente actualizado (RF-VTA-03)</t>
  </si>
  <si>
    <t xml:space="preserve">Casos de prueba: CP-012; un cliente antiguo sin datos no debe fallar (CP-015). Sin responsable asignado.</t>
  </si>
  <si>
    <t xml:space="preserve">customer_id en propuesta y selector en paso 1 (RF-VTA-03)</t>
  </si>
  <si>
    <t xml:space="preserve">CP-013: propuesta vinculada al cliente. Sin responsable asignado.</t>
  </si>
  <si>
    <t xml:space="preserve">Migración de propuestas existentes (RF-VTA-03)</t>
  </si>
  <si>
    <t xml:space="preserve">CP-015: regresión con clientes previos al cambio. Sin responsable asignado.</t>
  </si>
  <si>
    <t xml:space="preserve">Historial de propuestas por cliente (RF-VTA-03)</t>
  </si>
  <si>
    <t xml:space="preserve">Casos de prueba: CP-013, 110 y 111 (orden y aislamiento). Sin responsable asignado.</t>
  </si>
  <si>
    <t xml:space="preserve">Perfil del cliente en el prompt de generación (RF-VTA-03)</t>
  </si>
  <si>
    <t xml:space="preserve">CP-014: el borrador usa industria y tamaño. Sin responsable asignado.</t>
  </si>
  <si>
    <t xml:space="preserve">CRUD de plantillas y autocompletar variables (RF-VTA-07)</t>
  </si>
  <si>
    <t xml:space="preserve">Casos de prueba: CP-030, 031, 032 y 129. Sin responsable asignado.</t>
  </si>
  <si>
    <t xml:space="preserve">Clasificar y filtrar por servicio o industria (RF-VTA-07)</t>
  </si>
  <si>
    <t xml:space="preserve">Casos de prueba: CP-033. Sin responsable asignado.</t>
  </si>
  <si>
    <t xml:space="preserve">Condiciones comerciales con texto oficial (RF-VTA-07/RNF-VTA-04)</t>
  </si>
  <si>
    <t xml:space="preserve">Dificultad: requiere el texto oficial de NoonDalton (CP-034). Sin responsable asignado.</t>
  </si>
  <si>
    <t xml:space="preserve">Se usa un bloque editable con texto provisorio hasta recibir el texto oficial.</t>
  </si>
  <si>
    <t xml:space="preserve">Logo y colores corporativos en la exportación (RF-VTA-12)</t>
  </si>
  <si>
    <t xml:space="preserve">Facilitó: CP-049 aprobado.</t>
  </si>
  <si>
    <t xml:space="preserve">Regresión de exportación PDF y DOCX (RF-VTA-12)</t>
  </si>
  <si>
    <t xml:space="preserve">Facilitó: 10/10 aprobados tras corregir 5 defectos.</t>
  </si>
  <si>
    <t xml:space="preserve">Corregir RF12-D-007 (formato en el editor) (RF-VTA-12)</t>
  </si>
  <si>
    <t xml:space="preserve">Dificultad: defecto abierto; h2 pegado, h4 y citas pierden formato al guardar en el editor.</t>
  </si>
  <si>
    <t xml:space="preserve">Agregaciones por estado y monto, y dashboard (RF-VTA-10)</t>
  </si>
  <si>
    <t xml:space="preserve">Casos de prueba: CP-041 y CP-139; usa los estados unificados de RF-VTA-05. Sin responsable asignado.</t>
  </si>
  <si>
    <t xml:space="preserve">Fórmulas de KPI acordadas con negocio (RF-VTA-10)</t>
  </si>
  <si>
    <t xml:space="preserve">Definir conversión, win rate y valor total. Sin responsable asignado.</t>
  </si>
  <si>
    <t xml:space="preserve">Win rate y conversión (RF-VTA-10)</t>
  </si>
  <si>
    <t xml:space="preserve">Casos de prueba: CP-041 y CP-044 (caso sin datos). Sin responsable asignado.</t>
  </si>
  <si>
    <t xml:space="preserve">Tiempo promedio de cierre (RF-VTA-10)</t>
  </si>
  <si>
    <t xml:space="preserve">CP-042 y CP-138: las abiertas no cuentan. Sin responsable asignado.</t>
  </si>
  <si>
    <t xml:space="preserve">Exportar xlsx, csv y pdf con datos de Ventas (RF-VTA-10)</t>
  </si>
  <si>
    <t xml:space="preserve">Casos de prueba: CP-043 y CP-141; el PDF actual exporta libros. Sin responsable asignado.</t>
  </si>
  <si>
    <t xml:space="preserve">Unificar asistentes de marketing y ventas (RF-VTA-09)</t>
  </si>
  <si>
    <t xml:space="preserve">CP-037: un solo asistente. Sin responsable asignado.</t>
  </si>
  <si>
    <t xml:space="preserve">Los dos asistentes (marketing y ventas) se unifican en uno solo, de solo consulta (D-06).</t>
  </si>
  <si>
    <t xml:space="preserve">Consulta de clientes, propuestas y catálogo (RF-VTA-09)</t>
  </si>
  <si>
    <t xml:space="preserve">Casos de prueba: CP-038 y CP-136; solo lectura (CP-039). Sin responsable asignado.</t>
  </si>
  <si>
    <t xml:space="preserve">Filtrado por usuario en toda consulta (RF-VTA-09)</t>
  </si>
  <si>
    <t xml:space="preserve">CP-040 y CP-133: sin datos de otros usuarios. Sin responsable asignado.</t>
  </si>
  <si>
    <t xml:space="preserve">Pruebas con datos reales y aislamiento (RF-VTA-09)</t>
  </si>
  <si>
    <t xml:space="preserve">Casos de prueba: CP-132, 134 y 135. Sin responsable asignado.</t>
  </si>
  <si>
    <t xml:space="preserve">Configurar y ejecutar el pipeline (RF-VTA-13)</t>
  </si>
  <si>
    <t xml:space="preserve">05-10-2026 al 14-11-2026</t>
  </si>
  <si>
    <t xml:space="preserve">Facilitó: 9 de 9 casos aprobados, sin defectos abiertos.</t>
  </si>
  <si>
    <t xml:space="preserve">Detección y calificación de vacantes (RF-VTA-14)</t>
  </si>
  <si>
    <t xml:space="preserve">Facilitó: 12 de 13 casos aprobados. Dificultad: CP-058 depende de fuentes reales que entrega el cliente.</t>
  </si>
  <si>
    <t xml:space="preserve">Confirmar palabras clave BPO con NoonDalton (RF-VTA-14)</t>
  </si>
  <si>
    <t xml:space="preserve">Respuesta del cliente (vía Alloxentric)</t>
  </si>
  <si>
    <t xml:space="preserve">Dificultad: requiere respuesta del cliente. Sin responsable asignado.</t>
  </si>
  <si>
    <t xml:space="preserve">Se asume el rubro BPO según el Consolidado y se registra el supuesto.</t>
  </si>
  <si>
    <t xml:space="preserve">Pruebas con fuentes reales y ajuste de umbral (RF-VTA-14)</t>
  </si>
  <si>
    <t xml:space="preserve">Fuentes de empleo reales (páginas del cliente), Pytest</t>
  </si>
  <si>
    <t xml:space="preserve">Dificultad: CP-058 bloqueado: el cliente no entrega las páginas. Sin responsable asignado.</t>
  </si>
  <si>
    <t xml:space="preserve">Carga manual de vacantes por CSV como contingencia mientras no haya fuentes reales (R-01).</t>
  </si>
  <si>
    <t xml:space="preserve">Conectar Agente 3 a los leads del pipeline (RF-VTA-16)</t>
  </si>
  <si>
    <t xml:space="preserve">Dependencia: requiere los leads validados del Agente 1; 0 de 9 casos ejecutados. Sin responsable asignado.</t>
  </si>
  <si>
    <t xml:space="preserve">Cola de revisión: aprobar, rechazar, regenerar (RF-VTA-16)</t>
  </si>
  <si>
    <t xml:space="preserve">Revisión humana obligatoria. Sin responsable asignado.</t>
  </si>
  <si>
    <t xml:space="preserve">Marcar como enviado o exportar (RF-VTA-16)</t>
  </si>
  <si>
    <t xml:space="preserve">El envío real queda fuera de esta etapa. Sin responsable asignado.</t>
  </si>
  <si>
    <t xml:space="preserve">Envío automático eliminado (D-08): el correo se marca como enviado o se exporta.</t>
  </si>
  <si>
    <t xml:space="preserve">Historial de decisiones de la cola (RF-VTA-16)</t>
  </si>
  <si>
    <t xml:space="preserve">Registro de decisiones sobre cada correo. Sin responsable asignado.</t>
  </si>
  <si>
    <t xml:space="preserve">Inventariar y auditar endpoints (RNF-VTA-01)</t>
  </si>
  <si>
    <t xml:space="preserve">0 de 8 casos de control de acceso ejecutados; es transversal e impacta a las demás épicas. Sin responsable asignado.</t>
  </si>
  <si>
    <t xml:space="preserve">Aplicar la autenticación que falte (RNF-VTA-01)</t>
  </si>
  <si>
    <t xml:space="preserve">Aplica a todos los routers. Sin responsable asignado.</t>
  </si>
  <si>
    <t xml:space="preserve">Filtros de propiedad: cada usuario ve lo suyo (RNF-VTA-01)</t>
  </si>
  <si>
    <t xml:space="preserve">Acceso solo a datos propios. Sin responsable asignado.</t>
  </si>
  <si>
    <t xml:space="preserve">Matriz de permisos y guardias por rol (RNF-VTA-01)</t>
  </si>
  <si>
    <t xml:space="preserve">Dificultad: el concepto 'descuentos' no tiene un requerimiento definido (roles admin, manager y user). Sin responsable asignado.</t>
  </si>
  <si>
    <t xml:space="preserve">Se aclarará con Alloxentric si 'descuentos' requiere un requerimiento propio.</t>
  </si>
  <si>
    <t xml:space="preserve">Modelo y registro de auditoría (RNF-VTA-02)</t>
  </si>
  <si>
    <t xml:space="preserve">Debe registrar usuario, acción, fecha e IP; 0 de 6 casos ejecutados. Sin responsable asignado.</t>
  </si>
  <si>
    <t xml:space="preserve">Consulta del registro de auditoría (admin) (RNF-VTA-02)</t>
  </si>
  <si>
    <t xml:space="preserve">Facilitó: ya existe middleware/audit.py de forma parcial; falta la consulta para el administrador. Sin responsable asignado.</t>
  </si>
  <si>
    <t xml:space="preserve">Pruebas automáticas de permisos y aislamiento (RNF-VTA-01/02)</t>
  </si>
  <si>
    <t xml:space="preserve">Automatizar con Pytest. Sin responsable asignado.</t>
  </si>
  <si>
    <t xml:space="preserve">Endpoint y UI de estado de tareas (RNF-VTA-06)</t>
  </si>
  <si>
    <t xml:space="preserve">Facilitó: ya existe routers/tasks.py. Dificultad: 0 de 10 casos ejecutados. Sin responsable asignado.</t>
  </si>
  <si>
    <t xml:space="preserve">El proceso permanente y la ejecución programada en producción quedaron fuera de esta etapa (D-07).</t>
  </si>
  <si>
    <t xml:space="preserve">Modo fallback si falla la cola (RNF-VTA-06)</t>
  </si>
  <si>
    <t xml:space="preserve">FastAPI, Celery/Redis</t>
  </si>
  <si>
    <t xml:space="preserve">Dificultad: cubierto en RF-VTA-01 (PA-19); falta prueba propia. Sin responsable asignado.</t>
  </si>
  <si>
    <t xml:space="preserve">La operación se completa de forma directa si el servicio de colas no está disponible.</t>
  </si>
  <si>
    <t xml:space="preserve">Errores de IA y CRM uniformes en la UI (RNF-VTA-05)</t>
  </si>
  <si>
    <t xml:space="preserve">Facilitó: el CRM ya muestra errores (RF-VTA-04); falta uniformar los de IA. Sin responsable asignado.</t>
  </si>
  <si>
    <t xml:space="preserve">Manual de despliegue validado en entorno limpio (RNF-VTA-05)</t>
  </si>
  <si>
    <t xml:space="preserve">Vercel, GitHub, Word (manual de despliegue)</t>
  </si>
  <si>
    <t xml:space="preserve">Dificultad: sin responsable y 0 de 7 casos ejecutados; debe validarse en un entorno limpio.</t>
  </si>
  <si>
    <t xml:space="preserve">Pruebas transversales: cobertura, E2E, regresión</t>
  </si>
  <si>
    <t xml:space="preserve">Pytest, Vitest, pruebas E2E</t>
  </si>
  <si>
    <t xml:space="preserve">Dificultad: 7 casos sin ejecutar. Sin responsable asignado.</t>
  </si>
  <si>
    <t xml:space="preserve">Resumen del Plan de Trabajo (tablero Kanban al 24-10-2026)</t>
  </si>
  <si>
    <t xml:space="preserve">N° de actividades</t>
  </si>
  <si>
    <t xml:space="preserve">Total</t>
  </si>
  <si>
    <t xml:space="preserve">Criterios aplicados</t>
  </si>
  <si>
    <t xml:space="preserve">Completado: tarjeta en la columna Listo del tablero.</t>
  </si>
  <si>
    <t xml:space="preserve">En curso: tarjeta en las columnas En desarrollo o QA.</t>
  </si>
  <si>
    <t xml:space="preserve">No iniciado: tarjeta en Por hacer.</t>
  </si>
  <si>
    <t xml:space="preserve">Con retraso: tarjeta en Por hacer del paquete 3 (inicio 14-09) de las épicas Catálogo (E1) y Clientes (E2), requerimientos Must, o bloqueada por un insumo del cliente con plazo vencido (propuestas BPO, 23-10).</t>
  </si>
  <si>
    <t xml:space="preserve">Ajustada: actividad reformulada o con alcance reducido por una decisión de diseño (D-04, D-06, D-08).</t>
  </si>
  <si>
    <t xml:space="preserve">Duración: fechas de la carta Gantt del PMP v2.2 según el paquete de trabajo de cada épica.</t>
  </si>
  <si>
    <t xml:space="preserve">Competencias: asignadas según el área técnica (etiqueta) de cada tarjeta; reemplazar por los nombres oficiales de la guía si difieren.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</si>
</sst>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BDD7EE"/>
        <bgColor rgb="FFC6EFCE"/>
      </patternFill>
    </fill>
    <fill>
      <patternFill patternType="solid">
        <fgColor rgb="FFF8CBAD"/>
        <bgColor rgb="FFFFE699"/>
      </patternFill>
    </fill>
    <fill>
      <patternFill patternType="solid">
        <fgColor rgb="FFE7E6E6"/>
        <bgColor rgb="FFC6EFCE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52"/>
    <col collapsed="false" customWidth="true" hidden="false" outlineLevel="0" max="7" min="7" style="0" width="15"/>
    <col collapsed="false" customWidth="true" hidden="false" outlineLevel="0" max="8" min="8" style="0" width="5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2.3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customFormat="false" ht="22.35" hidden="false" customHeight="false" outlineLevel="0" collapsed="false">
      <c r="A3" s="2" t="s">
        <v>8</v>
      </c>
      <c r="B3" s="2" t="s">
        <v>16</v>
      </c>
      <c r="C3" s="2" t="s">
        <v>10</v>
      </c>
      <c r="D3" s="2" t="s">
        <v>11</v>
      </c>
      <c r="E3" s="2" t="s">
        <v>12</v>
      </c>
      <c r="F3" s="2" t="s">
        <v>17</v>
      </c>
      <c r="G3" s="3" t="s">
        <v>14</v>
      </c>
      <c r="H3" s="2" t="s">
        <v>15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11</v>
      </c>
      <c r="E4" s="2" t="s">
        <v>12</v>
      </c>
      <c r="F4" s="2" t="s">
        <v>21</v>
      </c>
      <c r="G4" s="3" t="s">
        <v>14</v>
      </c>
      <c r="H4" s="2" t="s">
        <v>15</v>
      </c>
    </row>
    <row r="5" customFormat="false" ht="22.35" hidden="false" customHeight="false" outlineLevel="0" collapsed="false">
      <c r="A5" s="2" t="s">
        <v>8</v>
      </c>
      <c r="B5" s="2" t="s">
        <v>22</v>
      </c>
      <c r="C5" s="2" t="s">
        <v>10</v>
      </c>
      <c r="D5" s="2" t="s">
        <v>11</v>
      </c>
      <c r="E5" s="2" t="s">
        <v>12</v>
      </c>
      <c r="F5" s="2" t="s">
        <v>23</v>
      </c>
      <c r="G5" s="3" t="s">
        <v>14</v>
      </c>
      <c r="H5" s="2" t="s">
        <v>15</v>
      </c>
    </row>
    <row r="6" customFormat="false" ht="15" hidden="false" customHeight="false" outlineLevel="0" collapsed="false">
      <c r="A6" s="2" t="s">
        <v>18</v>
      </c>
      <c r="B6" s="2" t="s">
        <v>24</v>
      </c>
      <c r="C6" s="2" t="s">
        <v>20</v>
      </c>
      <c r="D6" s="2" t="s">
        <v>11</v>
      </c>
      <c r="E6" s="2" t="s">
        <v>12</v>
      </c>
      <c r="F6" s="2" t="s">
        <v>25</v>
      </c>
      <c r="G6" s="3" t="s">
        <v>14</v>
      </c>
      <c r="H6" s="2" t="s">
        <v>15</v>
      </c>
    </row>
    <row r="7" customFormat="false" ht="22.35" hidden="false" customHeight="false" outlineLevel="0" collapsed="false">
      <c r="A7" s="2" t="s">
        <v>18</v>
      </c>
      <c r="B7" s="2" t="s">
        <v>26</v>
      </c>
      <c r="C7" s="2" t="s">
        <v>20</v>
      </c>
      <c r="D7" s="2" t="s">
        <v>11</v>
      </c>
      <c r="E7" s="2" t="s">
        <v>12</v>
      </c>
      <c r="F7" s="2" t="s">
        <v>27</v>
      </c>
      <c r="G7" s="4" t="s">
        <v>28</v>
      </c>
      <c r="H7" s="2" t="s">
        <v>29</v>
      </c>
    </row>
    <row r="8" customFormat="false" ht="22.35" hidden="false" customHeight="false" outlineLevel="0" collapsed="false">
      <c r="A8" s="2" t="s">
        <v>30</v>
      </c>
      <c r="B8" s="2" t="s">
        <v>31</v>
      </c>
      <c r="C8" s="2" t="s">
        <v>32</v>
      </c>
      <c r="D8" s="2" t="s">
        <v>11</v>
      </c>
      <c r="E8" s="2" t="s">
        <v>12</v>
      </c>
      <c r="F8" s="2" t="s">
        <v>33</v>
      </c>
      <c r="G8" s="3" t="s">
        <v>14</v>
      </c>
      <c r="H8" s="2" t="s">
        <v>34</v>
      </c>
    </row>
    <row r="9" customFormat="false" ht="22.35" hidden="false" customHeight="false" outlineLevel="0" collapsed="false">
      <c r="A9" s="2" t="s">
        <v>35</v>
      </c>
      <c r="B9" s="2" t="s">
        <v>36</v>
      </c>
      <c r="C9" s="2" t="s">
        <v>37</v>
      </c>
      <c r="D9" s="2" t="s">
        <v>11</v>
      </c>
      <c r="E9" s="2" t="s">
        <v>12</v>
      </c>
      <c r="F9" s="2" t="s">
        <v>38</v>
      </c>
      <c r="G9" s="4" t="s">
        <v>28</v>
      </c>
      <c r="H9" s="2" t="s">
        <v>15</v>
      </c>
    </row>
    <row r="10" customFormat="false" ht="22.35" hidden="false" customHeight="false" outlineLevel="0" collapsed="false">
      <c r="A10" s="2" t="s">
        <v>35</v>
      </c>
      <c r="B10" s="2" t="s">
        <v>39</v>
      </c>
      <c r="C10" s="2" t="s">
        <v>37</v>
      </c>
      <c r="D10" s="2" t="s">
        <v>11</v>
      </c>
      <c r="E10" s="2" t="s">
        <v>12</v>
      </c>
      <c r="F10" s="2" t="s">
        <v>40</v>
      </c>
      <c r="G10" s="4" t="s">
        <v>28</v>
      </c>
      <c r="H10" s="2" t="s">
        <v>41</v>
      </c>
    </row>
    <row r="11" customFormat="false" ht="22.35" hidden="false" customHeight="false" outlineLevel="0" collapsed="false">
      <c r="A11" s="2" t="s">
        <v>42</v>
      </c>
      <c r="B11" s="2" t="s">
        <v>43</v>
      </c>
      <c r="C11" s="2" t="s">
        <v>44</v>
      </c>
      <c r="D11" s="2" t="s">
        <v>11</v>
      </c>
      <c r="E11" s="2" t="s">
        <v>45</v>
      </c>
      <c r="F11" s="2" t="s">
        <v>46</v>
      </c>
      <c r="G11" s="5" t="s">
        <v>47</v>
      </c>
      <c r="H11" s="2" t="s">
        <v>48</v>
      </c>
    </row>
    <row r="12" customFormat="false" ht="22.35" hidden="false" customHeight="false" outlineLevel="0" collapsed="false">
      <c r="A12" s="2" t="s">
        <v>18</v>
      </c>
      <c r="B12" s="2" t="s">
        <v>49</v>
      </c>
      <c r="C12" s="2" t="s">
        <v>20</v>
      </c>
      <c r="D12" s="2" t="s">
        <v>50</v>
      </c>
      <c r="E12" s="2" t="s">
        <v>12</v>
      </c>
      <c r="F12" s="2" t="s">
        <v>51</v>
      </c>
      <c r="G12" s="3" t="s">
        <v>14</v>
      </c>
      <c r="H12" s="2" t="s">
        <v>15</v>
      </c>
    </row>
    <row r="13" customFormat="false" ht="22.35" hidden="false" customHeight="false" outlineLevel="0" collapsed="false">
      <c r="A13" s="2" t="s">
        <v>42</v>
      </c>
      <c r="B13" s="2" t="s">
        <v>52</v>
      </c>
      <c r="C13" s="2" t="s">
        <v>53</v>
      </c>
      <c r="D13" s="2" t="s">
        <v>50</v>
      </c>
      <c r="E13" s="2" t="s">
        <v>12</v>
      </c>
      <c r="F13" s="2" t="s">
        <v>54</v>
      </c>
      <c r="G13" s="3" t="s">
        <v>14</v>
      </c>
      <c r="H13" s="2" t="s">
        <v>15</v>
      </c>
    </row>
    <row r="14" customFormat="false" ht="22.35" hidden="false" customHeight="false" outlineLevel="0" collapsed="false">
      <c r="A14" s="2" t="s">
        <v>18</v>
      </c>
      <c r="B14" s="2" t="s">
        <v>55</v>
      </c>
      <c r="C14" s="2" t="s">
        <v>20</v>
      </c>
      <c r="D14" s="2" t="s">
        <v>50</v>
      </c>
      <c r="E14" s="2" t="s">
        <v>12</v>
      </c>
      <c r="F14" s="2" t="s">
        <v>56</v>
      </c>
      <c r="G14" s="3" t="s">
        <v>14</v>
      </c>
      <c r="H14" s="2" t="s">
        <v>15</v>
      </c>
    </row>
    <row r="15" customFormat="false" ht="22.35" hidden="false" customHeight="false" outlineLevel="0" collapsed="false">
      <c r="A15" s="2" t="s">
        <v>35</v>
      </c>
      <c r="B15" s="2" t="s">
        <v>57</v>
      </c>
      <c r="C15" s="2" t="s">
        <v>58</v>
      </c>
      <c r="D15" s="2" t="s">
        <v>50</v>
      </c>
      <c r="E15" s="2" t="s">
        <v>12</v>
      </c>
      <c r="F15" s="2" t="s">
        <v>59</v>
      </c>
      <c r="G15" s="3" t="s">
        <v>14</v>
      </c>
      <c r="H15" s="2" t="s">
        <v>15</v>
      </c>
    </row>
    <row r="16" customFormat="false" ht="22.35" hidden="false" customHeight="false" outlineLevel="0" collapsed="false">
      <c r="A16" s="2" t="s">
        <v>60</v>
      </c>
      <c r="B16" s="2" t="s">
        <v>61</v>
      </c>
      <c r="C16" s="2" t="s">
        <v>62</v>
      </c>
      <c r="D16" s="2" t="s">
        <v>50</v>
      </c>
      <c r="E16" s="2" t="s">
        <v>63</v>
      </c>
      <c r="F16" s="2" t="s">
        <v>64</v>
      </c>
      <c r="G16" s="3" t="s">
        <v>14</v>
      </c>
      <c r="H16" s="2" t="s">
        <v>65</v>
      </c>
    </row>
    <row r="17" customFormat="false" ht="22.35" hidden="false" customHeight="false" outlineLevel="0" collapsed="false">
      <c r="A17" s="2" t="s">
        <v>35</v>
      </c>
      <c r="B17" s="2" t="s">
        <v>66</v>
      </c>
      <c r="C17" s="2" t="s">
        <v>67</v>
      </c>
      <c r="D17" s="2" t="s">
        <v>68</v>
      </c>
      <c r="E17" s="2" t="s">
        <v>63</v>
      </c>
      <c r="F17" s="2" t="s">
        <v>69</v>
      </c>
      <c r="G17" s="3" t="s">
        <v>14</v>
      </c>
      <c r="H17" s="2" t="s">
        <v>15</v>
      </c>
    </row>
    <row r="18" customFormat="false" ht="22.35" hidden="false" customHeight="false" outlineLevel="0" collapsed="false">
      <c r="A18" s="2" t="s">
        <v>60</v>
      </c>
      <c r="B18" s="2" t="s">
        <v>70</v>
      </c>
      <c r="C18" s="2" t="s">
        <v>62</v>
      </c>
      <c r="D18" s="2" t="s">
        <v>50</v>
      </c>
      <c r="E18" s="2" t="s">
        <v>63</v>
      </c>
      <c r="F18" s="2" t="s">
        <v>71</v>
      </c>
      <c r="G18" s="3" t="s">
        <v>14</v>
      </c>
      <c r="H18" s="2" t="s">
        <v>15</v>
      </c>
    </row>
    <row r="19" customFormat="false" ht="22.35" hidden="false" customHeight="false" outlineLevel="0" collapsed="false">
      <c r="A19" s="2" t="s">
        <v>60</v>
      </c>
      <c r="B19" s="2" t="s">
        <v>72</v>
      </c>
      <c r="C19" s="2" t="s">
        <v>62</v>
      </c>
      <c r="D19" s="2" t="s">
        <v>50</v>
      </c>
      <c r="E19" s="2" t="s">
        <v>63</v>
      </c>
      <c r="F19" s="2" t="s">
        <v>73</v>
      </c>
      <c r="G19" s="3" t="s">
        <v>14</v>
      </c>
      <c r="H19" s="2" t="s">
        <v>15</v>
      </c>
    </row>
    <row r="20" customFormat="false" ht="22.35" hidden="false" customHeight="false" outlineLevel="0" collapsed="false">
      <c r="A20" s="2" t="s">
        <v>60</v>
      </c>
      <c r="B20" s="2" t="s">
        <v>74</v>
      </c>
      <c r="C20" s="2" t="s">
        <v>62</v>
      </c>
      <c r="D20" s="2" t="s">
        <v>50</v>
      </c>
      <c r="E20" s="2" t="s">
        <v>63</v>
      </c>
      <c r="F20" s="2" t="s">
        <v>75</v>
      </c>
      <c r="G20" s="3" t="s">
        <v>14</v>
      </c>
      <c r="H20" s="2" t="s">
        <v>15</v>
      </c>
    </row>
    <row r="21" customFormat="false" ht="22.35" hidden="false" customHeight="false" outlineLevel="0" collapsed="false">
      <c r="A21" s="2" t="s">
        <v>76</v>
      </c>
      <c r="B21" s="2" t="s">
        <v>77</v>
      </c>
      <c r="C21" s="2" t="s">
        <v>78</v>
      </c>
      <c r="D21" s="2" t="s">
        <v>50</v>
      </c>
      <c r="E21" s="2" t="s">
        <v>63</v>
      </c>
      <c r="F21" s="2" t="s">
        <v>79</v>
      </c>
      <c r="G21" s="4" t="s">
        <v>28</v>
      </c>
      <c r="H21" s="2" t="s">
        <v>15</v>
      </c>
    </row>
    <row r="22" customFormat="false" ht="22.35" hidden="false" customHeight="false" outlineLevel="0" collapsed="false">
      <c r="A22" s="2" t="s">
        <v>35</v>
      </c>
      <c r="B22" s="2" t="s">
        <v>80</v>
      </c>
      <c r="C22" s="2" t="s">
        <v>81</v>
      </c>
      <c r="D22" s="2" t="s">
        <v>68</v>
      </c>
      <c r="E22" s="2" t="s">
        <v>45</v>
      </c>
      <c r="F22" s="2" t="s">
        <v>82</v>
      </c>
      <c r="G22" s="6" t="s">
        <v>83</v>
      </c>
      <c r="H22" s="2" t="s">
        <v>84</v>
      </c>
    </row>
    <row r="23" customFormat="false" ht="22.35" hidden="false" customHeight="false" outlineLevel="0" collapsed="false">
      <c r="A23" s="2" t="s">
        <v>30</v>
      </c>
      <c r="B23" s="2" t="s">
        <v>85</v>
      </c>
      <c r="C23" s="2" t="s">
        <v>32</v>
      </c>
      <c r="D23" s="2" t="s">
        <v>11</v>
      </c>
      <c r="E23" s="2" t="s">
        <v>86</v>
      </c>
      <c r="F23" s="2" t="s">
        <v>87</v>
      </c>
      <c r="G23" s="3" t="s">
        <v>14</v>
      </c>
      <c r="H23" s="2" t="s">
        <v>15</v>
      </c>
    </row>
    <row r="24" customFormat="false" ht="22.35" hidden="false" customHeight="false" outlineLevel="0" collapsed="false">
      <c r="A24" s="2" t="s">
        <v>30</v>
      </c>
      <c r="B24" s="2" t="s">
        <v>88</v>
      </c>
      <c r="C24" s="2" t="s">
        <v>32</v>
      </c>
      <c r="D24" s="2" t="s">
        <v>11</v>
      </c>
      <c r="E24" s="2" t="s">
        <v>86</v>
      </c>
      <c r="F24" s="2" t="s">
        <v>89</v>
      </c>
      <c r="G24" s="3" t="s">
        <v>14</v>
      </c>
      <c r="H24" s="2" t="s">
        <v>15</v>
      </c>
    </row>
    <row r="25" customFormat="false" ht="22.35" hidden="false" customHeight="false" outlineLevel="0" collapsed="false">
      <c r="A25" s="2" t="s">
        <v>30</v>
      </c>
      <c r="B25" s="2" t="s">
        <v>90</v>
      </c>
      <c r="C25" s="2" t="s">
        <v>32</v>
      </c>
      <c r="D25" s="2" t="s">
        <v>11</v>
      </c>
      <c r="E25" s="2" t="s">
        <v>86</v>
      </c>
      <c r="F25" s="2" t="s">
        <v>91</v>
      </c>
      <c r="G25" s="3" t="s">
        <v>14</v>
      </c>
      <c r="H25" s="2" t="s">
        <v>15</v>
      </c>
    </row>
    <row r="26" customFormat="false" ht="22.35" hidden="false" customHeight="false" outlineLevel="0" collapsed="false">
      <c r="A26" s="2" t="s">
        <v>30</v>
      </c>
      <c r="B26" s="2" t="s">
        <v>92</v>
      </c>
      <c r="C26" s="2" t="s">
        <v>32</v>
      </c>
      <c r="D26" s="2" t="s">
        <v>11</v>
      </c>
      <c r="E26" s="2" t="s">
        <v>86</v>
      </c>
      <c r="F26" s="2" t="s">
        <v>93</v>
      </c>
      <c r="G26" s="3" t="s">
        <v>14</v>
      </c>
      <c r="H26" s="2" t="s">
        <v>15</v>
      </c>
    </row>
    <row r="27" customFormat="false" ht="22.35" hidden="false" customHeight="false" outlineLevel="0" collapsed="false">
      <c r="A27" s="2" t="s">
        <v>42</v>
      </c>
      <c r="B27" s="2" t="s">
        <v>94</v>
      </c>
      <c r="C27" s="2" t="s">
        <v>53</v>
      </c>
      <c r="D27" s="2" t="s">
        <v>11</v>
      </c>
      <c r="E27" s="2" t="s">
        <v>86</v>
      </c>
      <c r="F27" s="2" t="s">
        <v>95</v>
      </c>
      <c r="G27" s="3" t="s">
        <v>14</v>
      </c>
      <c r="H27" s="2" t="s">
        <v>96</v>
      </c>
    </row>
    <row r="28" customFormat="false" ht="22.35" hidden="false" customHeight="false" outlineLevel="0" collapsed="false">
      <c r="A28" s="2" t="s">
        <v>30</v>
      </c>
      <c r="B28" s="2" t="s">
        <v>97</v>
      </c>
      <c r="C28" s="2" t="s">
        <v>32</v>
      </c>
      <c r="D28" s="2" t="s">
        <v>11</v>
      </c>
      <c r="E28" s="2" t="s">
        <v>86</v>
      </c>
      <c r="F28" s="2" t="s">
        <v>98</v>
      </c>
      <c r="G28" s="4" t="s">
        <v>28</v>
      </c>
      <c r="H28" s="2" t="s">
        <v>15</v>
      </c>
    </row>
    <row r="29" customFormat="false" ht="22.35" hidden="false" customHeight="false" outlineLevel="0" collapsed="false">
      <c r="A29" s="2" t="s">
        <v>76</v>
      </c>
      <c r="B29" s="2" t="s">
        <v>99</v>
      </c>
      <c r="C29" s="2" t="s">
        <v>100</v>
      </c>
      <c r="D29" s="2" t="s">
        <v>11</v>
      </c>
      <c r="E29" s="2" t="s">
        <v>63</v>
      </c>
      <c r="F29" s="2" t="s">
        <v>101</v>
      </c>
      <c r="G29" s="4" t="s">
        <v>28</v>
      </c>
      <c r="H29" s="2" t="s">
        <v>102</v>
      </c>
    </row>
    <row r="30" customFormat="false" ht="22.35" hidden="false" customHeight="false" outlineLevel="0" collapsed="false">
      <c r="A30" s="2" t="s">
        <v>30</v>
      </c>
      <c r="B30" s="2" t="s">
        <v>103</v>
      </c>
      <c r="C30" s="2" t="s">
        <v>32</v>
      </c>
      <c r="D30" s="2" t="s">
        <v>11</v>
      </c>
      <c r="E30" s="2" t="s">
        <v>45</v>
      </c>
      <c r="F30" s="2" t="s">
        <v>104</v>
      </c>
      <c r="G30" s="7" t="s">
        <v>105</v>
      </c>
      <c r="H30" s="2" t="s">
        <v>106</v>
      </c>
    </row>
    <row r="31" customFormat="false" ht="22.35" hidden="false" customHeight="false" outlineLevel="0" collapsed="false">
      <c r="A31" s="2" t="s">
        <v>30</v>
      </c>
      <c r="B31" s="2" t="s">
        <v>107</v>
      </c>
      <c r="C31" s="2" t="s">
        <v>32</v>
      </c>
      <c r="D31" s="2" t="s">
        <v>11</v>
      </c>
      <c r="E31" s="2" t="s">
        <v>45</v>
      </c>
      <c r="F31" s="2" t="s">
        <v>108</v>
      </c>
      <c r="G31" s="6" t="s">
        <v>83</v>
      </c>
      <c r="H31" s="2" t="s">
        <v>15</v>
      </c>
    </row>
    <row r="32" customFormat="false" ht="22.35" hidden="false" customHeight="false" outlineLevel="0" collapsed="false">
      <c r="A32" s="2" t="s">
        <v>30</v>
      </c>
      <c r="B32" s="2" t="s">
        <v>109</v>
      </c>
      <c r="C32" s="2" t="s">
        <v>32</v>
      </c>
      <c r="D32" s="2" t="s">
        <v>11</v>
      </c>
      <c r="E32" s="2" t="s">
        <v>110</v>
      </c>
      <c r="F32" s="2" t="s">
        <v>111</v>
      </c>
      <c r="G32" s="4" t="s">
        <v>28</v>
      </c>
      <c r="H32" s="2" t="s">
        <v>15</v>
      </c>
    </row>
    <row r="33" customFormat="false" ht="22.35" hidden="false" customHeight="false" outlineLevel="0" collapsed="false">
      <c r="A33" s="2" t="s">
        <v>30</v>
      </c>
      <c r="B33" s="2" t="s">
        <v>112</v>
      </c>
      <c r="C33" s="2" t="s">
        <v>32</v>
      </c>
      <c r="D33" s="2" t="s">
        <v>11</v>
      </c>
      <c r="E33" s="2" t="s">
        <v>45</v>
      </c>
      <c r="F33" s="2" t="s">
        <v>113</v>
      </c>
      <c r="G33" s="5" t="s">
        <v>47</v>
      </c>
      <c r="H33" s="2" t="s">
        <v>15</v>
      </c>
    </row>
    <row r="34" customFormat="false" ht="22.35" hidden="false" customHeight="false" outlineLevel="0" collapsed="false">
      <c r="A34" s="2" t="s">
        <v>8</v>
      </c>
      <c r="B34" s="2" t="s">
        <v>114</v>
      </c>
      <c r="C34" s="2" t="s">
        <v>10</v>
      </c>
      <c r="D34" s="2" t="s">
        <v>11</v>
      </c>
      <c r="E34" s="2" t="s">
        <v>45</v>
      </c>
      <c r="F34" s="2" t="s">
        <v>115</v>
      </c>
      <c r="G34" s="5" t="s">
        <v>47</v>
      </c>
      <c r="H34" s="2" t="s">
        <v>15</v>
      </c>
    </row>
    <row r="35" customFormat="false" ht="22.35" hidden="false" customHeight="false" outlineLevel="0" collapsed="false">
      <c r="A35" s="2" t="s">
        <v>42</v>
      </c>
      <c r="B35" s="2" t="s">
        <v>116</v>
      </c>
      <c r="C35" s="2" t="s">
        <v>44</v>
      </c>
      <c r="D35" s="2" t="s">
        <v>11</v>
      </c>
      <c r="E35" s="2" t="s">
        <v>45</v>
      </c>
      <c r="F35" s="2" t="s">
        <v>46</v>
      </c>
      <c r="G35" s="5" t="s">
        <v>47</v>
      </c>
      <c r="H35" s="2" t="s">
        <v>117</v>
      </c>
    </row>
    <row r="36" customFormat="false" ht="22.35" hidden="false" customHeight="false" outlineLevel="0" collapsed="false">
      <c r="A36" s="2" t="s">
        <v>8</v>
      </c>
      <c r="B36" s="2" t="s">
        <v>118</v>
      </c>
      <c r="C36" s="2" t="s">
        <v>10</v>
      </c>
      <c r="D36" s="2" t="s">
        <v>11</v>
      </c>
      <c r="E36" s="2" t="s">
        <v>45</v>
      </c>
      <c r="F36" s="2" t="s">
        <v>119</v>
      </c>
      <c r="G36" s="5" t="s">
        <v>47</v>
      </c>
      <c r="H36" s="2" t="s">
        <v>15</v>
      </c>
    </row>
    <row r="37" customFormat="false" ht="22.35" hidden="false" customHeight="false" outlineLevel="0" collapsed="false">
      <c r="A37" s="2" t="s">
        <v>30</v>
      </c>
      <c r="B37" s="2" t="s">
        <v>120</v>
      </c>
      <c r="C37" s="2" t="s">
        <v>32</v>
      </c>
      <c r="D37" s="2" t="s">
        <v>11</v>
      </c>
      <c r="E37" s="2" t="s">
        <v>45</v>
      </c>
      <c r="F37" s="2" t="s">
        <v>121</v>
      </c>
      <c r="G37" s="5" t="s">
        <v>47</v>
      </c>
      <c r="H37" s="2" t="s">
        <v>15</v>
      </c>
    </row>
    <row r="38" customFormat="false" ht="22.35" hidden="false" customHeight="false" outlineLevel="0" collapsed="false">
      <c r="A38" s="2" t="s">
        <v>122</v>
      </c>
      <c r="B38" s="2" t="s">
        <v>123</v>
      </c>
      <c r="C38" s="2" t="s">
        <v>124</v>
      </c>
      <c r="D38" s="2" t="s">
        <v>11</v>
      </c>
      <c r="E38" s="2" t="s">
        <v>45</v>
      </c>
      <c r="F38" s="2" t="s">
        <v>125</v>
      </c>
      <c r="G38" s="5" t="s">
        <v>47</v>
      </c>
      <c r="H38" s="2" t="s">
        <v>15</v>
      </c>
    </row>
    <row r="39" customFormat="false" ht="22.35" hidden="false" customHeight="false" outlineLevel="0" collapsed="false">
      <c r="A39" s="2" t="s">
        <v>30</v>
      </c>
      <c r="B39" s="2" t="s">
        <v>126</v>
      </c>
      <c r="C39" s="2" t="s">
        <v>32</v>
      </c>
      <c r="D39" s="2" t="s">
        <v>11</v>
      </c>
      <c r="E39" s="2" t="s">
        <v>45</v>
      </c>
      <c r="F39" s="2" t="s">
        <v>127</v>
      </c>
      <c r="G39" s="5" t="s">
        <v>47</v>
      </c>
      <c r="H39" s="2" t="s">
        <v>15</v>
      </c>
    </row>
    <row r="40" customFormat="false" ht="22.35" hidden="false" customHeight="false" outlineLevel="0" collapsed="false">
      <c r="A40" s="2" t="s">
        <v>30</v>
      </c>
      <c r="B40" s="2" t="s">
        <v>128</v>
      </c>
      <c r="C40" s="2" t="s">
        <v>32</v>
      </c>
      <c r="D40" s="2" t="s">
        <v>11</v>
      </c>
      <c r="E40" s="2" t="s">
        <v>110</v>
      </c>
      <c r="F40" s="2" t="s">
        <v>129</v>
      </c>
      <c r="G40" s="4" t="s">
        <v>28</v>
      </c>
      <c r="H40" s="2" t="s">
        <v>15</v>
      </c>
    </row>
    <row r="41" customFormat="false" ht="22.35" hidden="false" customHeight="false" outlineLevel="0" collapsed="false">
      <c r="A41" s="2" t="s">
        <v>8</v>
      </c>
      <c r="B41" s="2" t="s">
        <v>130</v>
      </c>
      <c r="C41" s="2" t="s">
        <v>10</v>
      </c>
      <c r="D41" s="2" t="s">
        <v>11</v>
      </c>
      <c r="E41" s="2" t="s">
        <v>45</v>
      </c>
      <c r="F41" s="2" t="s">
        <v>131</v>
      </c>
      <c r="G41" s="5" t="s">
        <v>47</v>
      </c>
      <c r="H41" s="2" t="s">
        <v>15</v>
      </c>
    </row>
    <row r="42" customFormat="false" ht="22.35" hidden="false" customHeight="false" outlineLevel="0" collapsed="false">
      <c r="A42" s="2" t="s">
        <v>30</v>
      </c>
      <c r="B42" s="2" t="s">
        <v>132</v>
      </c>
      <c r="C42" s="2" t="s">
        <v>32</v>
      </c>
      <c r="D42" s="2" t="s">
        <v>11</v>
      </c>
      <c r="E42" s="2" t="s">
        <v>45</v>
      </c>
      <c r="F42" s="2" t="s">
        <v>133</v>
      </c>
      <c r="G42" s="5" t="s">
        <v>47</v>
      </c>
      <c r="H42" s="2" t="s">
        <v>15</v>
      </c>
    </row>
    <row r="43" customFormat="false" ht="22.35" hidden="false" customHeight="false" outlineLevel="0" collapsed="false">
      <c r="A43" s="2" t="s">
        <v>42</v>
      </c>
      <c r="B43" s="2" t="s">
        <v>134</v>
      </c>
      <c r="C43" s="2" t="s">
        <v>53</v>
      </c>
      <c r="D43" s="2" t="s">
        <v>11</v>
      </c>
      <c r="E43" s="2" t="s">
        <v>45</v>
      </c>
      <c r="F43" s="2" t="s">
        <v>135</v>
      </c>
      <c r="G43" s="5" t="s">
        <v>47</v>
      </c>
      <c r="H43" s="2" t="s">
        <v>15</v>
      </c>
    </row>
    <row r="44" customFormat="false" ht="22.35" hidden="false" customHeight="false" outlineLevel="0" collapsed="false">
      <c r="A44" s="2" t="s">
        <v>30</v>
      </c>
      <c r="B44" s="2" t="s">
        <v>136</v>
      </c>
      <c r="C44" s="2" t="s">
        <v>32</v>
      </c>
      <c r="D44" s="2" t="s">
        <v>11</v>
      </c>
      <c r="E44" s="2" t="s">
        <v>45</v>
      </c>
      <c r="F44" s="2" t="s">
        <v>137</v>
      </c>
      <c r="G44" s="5" t="s">
        <v>47</v>
      </c>
      <c r="H44" s="2" t="s">
        <v>15</v>
      </c>
    </row>
    <row r="45" customFormat="false" ht="22.35" hidden="false" customHeight="false" outlineLevel="0" collapsed="false">
      <c r="A45" s="2" t="s">
        <v>18</v>
      </c>
      <c r="B45" s="2" t="s">
        <v>138</v>
      </c>
      <c r="C45" s="2" t="s">
        <v>20</v>
      </c>
      <c r="D45" s="2" t="s">
        <v>11</v>
      </c>
      <c r="E45" s="2" t="s">
        <v>45</v>
      </c>
      <c r="F45" s="2" t="s">
        <v>139</v>
      </c>
      <c r="G45" s="5" t="s">
        <v>47</v>
      </c>
      <c r="H45" s="2" t="s">
        <v>15</v>
      </c>
    </row>
    <row r="46" customFormat="false" ht="22.35" hidden="false" customHeight="false" outlineLevel="0" collapsed="false">
      <c r="A46" s="2" t="s">
        <v>30</v>
      </c>
      <c r="B46" s="2" t="s">
        <v>140</v>
      </c>
      <c r="C46" s="2" t="s">
        <v>32</v>
      </c>
      <c r="D46" s="2" t="s">
        <v>11</v>
      </c>
      <c r="E46" s="2" t="s">
        <v>45</v>
      </c>
      <c r="F46" s="2" t="s">
        <v>141</v>
      </c>
      <c r="G46" s="6" t="s">
        <v>83</v>
      </c>
      <c r="H46" s="2" t="s">
        <v>15</v>
      </c>
    </row>
    <row r="47" customFormat="false" ht="22.35" hidden="false" customHeight="false" outlineLevel="0" collapsed="false">
      <c r="A47" s="2" t="s">
        <v>8</v>
      </c>
      <c r="B47" s="2" t="s">
        <v>142</v>
      </c>
      <c r="C47" s="2" t="s">
        <v>10</v>
      </c>
      <c r="D47" s="2" t="s">
        <v>11</v>
      </c>
      <c r="E47" s="2" t="s">
        <v>45</v>
      </c>
      <c r="F47" s="2" t="s">
        <v>143</v>
      </c>
      <c r="G47" s="6" t="s">
        <v>83</v>
      </c>
      <c r="H47" s="2" t="s">
        <v>15</v>
      </c>
    </row>
    <row r="48" customFormat="false" ht="22.35" hidden="false" customHeight="false" outlineLevel="0" collapsed="false">
      <c r="A48" s="2" t="s">
        <v>42</v>
      </c>
      <c r="B48" s="2" t="s">
        <v>144</v>
      </c>
      <c r="C48" s="2" t="s">
        <v>44</v>
      </c>
      <c r="D48" s="2" t="s">
        <v>11</v>
      </c>
      <c r="E48" s="2" t="s">
        <v>45</v>
      </c>
      <c r="F48" s="2" t="s">
        <v>145</v>
      </c>
      <c r="G48" s="6" t="s">
        <v>83</v>
      </c>
      <c r="H48" s="2" t="s">
        <v>146</v>
      </c>
    </row>
    <row r="49" customFormat="false" ht="22.35" hidden="false" customHeight="false" outlineLevel="0" collapsed="false">
      <c r="A49" s="2" t="s">
        <v>8</v>
      </c>
      <c r="B49" s="2" t="s">
        <v>147</v>
      </c>
      <c r="C49" s="2" t="s">
        <v>10</v>
      </c>
      <c r="D49" s="2" t="s">
        <v>11</v>
      </c>
      <c r="E49" s="2" t="s">
        <v>86</v>
      </c>
      <c r="F49" s="2" t="s">
        <v>148</v>
      </c>
      <c r="G49" s="3" t="s">
        <v>14</v>
      </c>
      <c r="H49" s="2" t="s">
        <v>15</v>
      </c>
    </row>
    <row r="50" customFormat="false" ht="22.35" hidden="false" customHeight="false" outlineLevel="0" collapsed="false">
      <c r="A50" s="2" t="s">
        <v>35</v>
      </c>
      <c r="B50" s="2" t="s">
        <v>149</v>
      </c>
      <c r="C50" s="2" t="s">
        <v>58</v>
      </c>
      <c r="D50" s="2" t="s">
        <v>11</v>
      </c>
      <c r="E50" s="2" t="s">
        <v>86</v>
      </c>
      <c r="F50" s="2" t="s">
        <v>150</v>
      </c>
      <c r="G50" s="3" t="s">
        <v>14</v>
      </c>
      <c r="H50" s="2" t="s">
        <v>15</v>
      </c>
    </row>
    <row r="51" customFormat="false" ht="22.35" hidden="false" customHeight="false" outlineLevel="0" collapsed="false">
      <c r="A51" s="2" t="s">
        <v>8</v>
      </c>
      <c r="B51" s="2" t="s">
        <v>151</v>
      </c>
      <c r="C51" s="2" t="s">
        <v>10</v>
      </c>
      <c r="D51" s="2" t="s">
        <v>11</v>
      </c>
      <c r="E51" s="2" t="s">
        <v>86</v>
      </c>
      <c r="F51" s="2" t="s">
        <v>152</v>
      </c>
      <c r="G51" s="4" t="s">
        <v>28</v>
      </c>
      <c r="H51" s="2" t="s">
        <v>15</v>
      </c>
    </row>
    <row r="52" customFormat="false" ht="22.35" hidden="false" customHeight="false" outlineLevel="0" collapsed="false">
      <c r="A52" s="2" t="s">
        <v>30</v>
      </c>
      <c r="B52" s="2" t="s">
        <v>153</v>
      </c>
      <c r="C52" s="2" t="s">
        <v>32</v>
      </c>
      <c r="D52" s="2" t="s">
        <v>50</v>
      </c>
      <c r="E52" s="2" t="s">
        <v>45</v>
      </c>
      <c r="F52" s="2" t="s">
        <v>154</v>
      </c>
      <c r="G52" s="6" t="s">
        <v>83</v>
      </c>
      <c r="H52" s="2" t="s">
        <v>15</v>
      </c>
    </row>
    <row r="53" customFormat="false" ht="15" hidden="false" customHeight="false" outlineLevel="0" collapsed="false">
      <c r="A53" s="2" t="s">
        <v>42</v>
      </c>
      <c r="B53" s="2" t="s">
        <v>155</v>
      </c>
      <c r="C53" s="2" t="s">
        <v>53</v>
      </c>
      <c r="D53" s="2" t="s">
        <v>50</v>
      </c>
      <c r="E53" s="2" t="s">
        <v>45</v>
      </c>
      <c r="F53" s="2" t="s">
        <v>156</v>
      </c>
      <c r="G53" s="6" t="s">
        <v>83</v>
      </c>
      <c r="H53" s="2" t="s">
        <v>15</v>
      </c>
    </row>
    <row r="54" customFormat="false" ht="22.35" hidden="false" customHeight="false" outlineLevel="0" collapsed="false">
      <c r="A54" s="2" t="s">
        <v>30</v>
      </c>
      <c r="B54" s="2" t="s">
        <v>157</v>
      </c>
      <c r="C54" s="2" t="s">
        <v>32</v>
      </c>
      <c r="D54" s="2" t="s">
        <v>50</v>
      </c>
      <c r="E54" s="2" t="s">
        <v>45</v>
      </c>
      <c r="F54" s="2" t="s">
        <v>158</v>
      </c>
      <c r="G54" s="6" t="s">
        <v>83</v>
      </c>
      <c r="H54" s="2" t="s">
        <v>15</v>
      </c>
    </row>
    <row r="55" customFormat="false" ht="22.35" hidden="false" customHeight="false" outlineLevel="0" collapsed="false">
      <c r="A55" s="2" t="s">
        <v>30</v>
      </c>
      <c r="B55" s="2" t="s">
        <v>159</v>
      </c>
      <c r="C55" s="2" t="s">
        <v>32</v>
      </c>
      <c r="D55" s="2" t="s">
        <v>50</v>
      </c>
      <c r="E55" s="2" t="s">
        <v>45</v>
      </c>
      <c r="F55" s="2" t="s">
        <v>160</v>
      </c>
      <c r="G55" s="6" t="s">
        <v>83</v>
      </c>
      <c r="H55" s="2" t="s">
        <v>15</v>
      </c>
    </row>
    <row r="56" customFormat="false" ht="22.35" hidden="false" customHeight="false" outlineLevel="0" collapsed="false">
      <c r="A56" s="2" t="s">
        <v>30</v>
      </c>
      <c r="B56" s="2" t="s">
        <v>161</v>
      </c>
      <c r="C56" s="2" t="s">
        <v>32</v>
      </c>
      <c r="D56" s="2" t="s">
        <v>50</v>
      </c>
      <c r="E56" s="2" t="s">
        <v>45</v>
      </c>
      <c r="F56" s="2" t="s">
        <v>162</v>
      </c>
      <c r="G56" s="6" t="s">
        <v>83</v>
      </c>
      <c r="H56" s="2" t="s">
        <v>15</v>
      </c>
    </row>
    <row r="57" customFormat="false" ht="22.35" hidden="false" customHeight="false" outlineLevel="0" collapsed="false">
      <c r="A57" s="2" t="s">
        <v>8</v>
      </c>
      <c r="B57" s="2" t="s">
        <v>163</v>
      </c>
      <c r="C57" s="2" t="s">
        <v>10</v>
      </c>
      <c r="D57" s="2" t="s">
        <v>50</v>
      </c>
      <c r="E57" s="2" t="s">
        <v>45</v>
      </c>
      <c r="F57" s="2" t="s">
        <v>164</v>
      </c>
      <c r="G57" s="7" t="s">
        <v>105</v>
      </c>
      <c r="H57" s="2" t="s">
        <v>165</v>
      </c>
    </row>
    <row r="58" customFormat="false" ht="22.35" hidden="false" customHeight="false" outlineLevel="0" collapsed="false">
      <c r="A58" s="2" t="s">
        <v>18</v>
      </c>
      <c r="B58" s="2" t="s">
        <v>166</v>
      </c>
      <c r="C58" s="2" t="s">
        <v>20</v>
      </c>
      <c r="D58" s="2" t="s">
        <v>50</v>
      </c>
      <c r="E58" s="2" t="s">
        <v>45</v>
      </c>
      <c r="F58" s="2" t="s">
        <v>167</v>
      </c>
      <c r="G58" s="6" t="s">
        <v>83</v>
      </c>
      <c r="H58" s="2" t="s">
        <v>15</v>
      </c>
    </row>
    <row r="59" customFormat="false" ht="22.35" hidden="false" customHeight="false" outlineLevel="0" collapsed="false">
      <c r="A59" s="2" t="s">
        <v>122</v>
      </c>
      <c r="B59" s="2" t="s">
        <v>168</v>
      </c>
      <c r="C59" s="2" t="s">
        <v>124</v>
      </c>
      <c r="D59" s="2" t="s">
        <v>50</v>
      </c>
      <c r="E59" s="2" t="s">
        <v>45</v>
      </c>
      <c r="F59" s="2" t="s">
        <v>169</v>
      </c>
      <c r="G59" s="6" t="s">
        <v>83</v>
      </c>
      <c r="H59" s="2" t="s">
        <v>15</v>
      </c>
    </row>
    <row r="60" customFormat="false" ht="22.35" hidden="false" customHeight="false" outlineLevel="0" collapsed="false">
      <c r="A60" s="2" t="s">
        <v>35</v>
      </c>
      <c r="B60" s="2" t="s">
        <v>170</v>
      </c>
      <c r="C60" s="2" t="s">
        <v>58</v>
      </c>
      <c r="D60" s="2" t="s">
        <v>50</v>
      </c>
      <c r="E60" s="2" t="s">
        <v>45</v>
      </c>
      <c r="F60" s="2" t="s">
        <v>171</v>
      </c>
      <c r="G60" s="6" t="s">
        <v>83</v>
      </c>
      <c r="H60" s="2" t="s">
        <v>15</v>
      </c>
    </row>
    <row r="61" customFormat="false" ht="15" hidden="false" customHeight="false" outlineLevel="0" collapsed="false">
      <c r="A61" s="2" t="s">
        <v>30</v>
      </c>
      <c r="B61" s="2" t="s">
        <v>172</v>
      </c>
      <c r="C61" s="2" t="s">
        <v>32</v>
      </c>
      <c r="D61" s="2" t="s">
        <v>173</v>
      </c>
      <c r="E61" s="2" t="s">
        <v>86</v>
      </c>
      <c r="F61" s="2" t="s">
        <v>174</v>
      </c>
      <c r="G61" s="3" t="s">
        <v>14</v>
      </c>
      <c r="H61" s="2" t="s">
        <v>15</v>
      </c>
    </row>
    <row r="62" customFormat="false" ht="22.35" hidden="false" customHeight="false" outlineLevel="0" collapsed="false">
      <c r="A62" s="2" t="s">
        <v>18</v>
      </c>
      <c r="B62" s="2" t="s">
        <v>175</v>
      </c>
      <c r="C62" s="2" t="s">
        <v>20</v>
      </c>
      <c r="D62" s="2" t="s">
        <v>173</v>
      </c>
      <c r="E62" s="2" t="s">
        <v>86</v>
      </c>
      <c r="F62" s="2" t="s">
        <v>176</v>
      </c>
      <c r="G62" s="3" t="s">
        <v>14</v>
      </c>
      <c r="H62" s="2" t="s">
        <v>15</v>
      </c>
    </row>
    <row r="63" customFormat="false" ht="22.35" hidden="false" customHeight="false" outlineLevel="0" collapsed="false">
      <c r="A63" s="2" t="s">
        <v>42</v>
      </c>
      <c r="B63" s="2" t="s">
        <v>177</v>
      </c>
      <c r="C63" s="2" t="s">
        <v>178</v>
      </c>
      <c r="D63" s="2" t="s">
        <v>173</v>
      </c>
      <c r="E63" s="2" t="s">
        <v>45</v>
      </c>
      <c r="F63" s="2" t="s">
        <v>179</v>
      </c>
      <c r="G63" s="6" t="s">
        <v>83</v>
      </c>
      <c r="H63" s="2" t="s">
        <v>180</v>
      </c>
    </row>
    <row r="64" customFormat="false" ht="22.35" hidden="false" customHeight="false" outlineLevel="0" collapsed="false">
      <c r="A64" s="2" t="s">
        <v>35</v>
      </c>
      <c r="B64" s="2" t="s">
        <v>181</v>
      </c>
      <c r="C64" s="2" t="s">
        <v>182</v>
      </c>
      <c r="D64" s="2" t="s">
        <v>173</v>
      </c>
      <c r="E64" s="2" t="s">
        <v>45</v>
      </c>
      <c r="F64" s="2" t="s">
        <v>183</v>
      </c>
      <c r="G64" s="6" t="s">
        <v>83</v>
      </c>
      <c r="H64" s="2" t="s">
        <v>184</v>
      </c>
    </row>
    <row r="65" customFormat="false" ht="22.35" hidden="false" customHeight="false" outlineLevel="0" collapsed="false">
      <c r="A65" s="2" t="s">
        <v>18</v>
      </c>
      <c r="B65" s="2" t="s">
        <v>185</v>
      </c>
      <c r="C65" s="2" t="s">
        <v>20</v>
      </c>
      <c r="D65" s="2" t="s">
        <v>173</v>
      </c>
      <c r="E65" s="2" t="s">
        <v>45</v>
      </c>
      <c r="F65" s="2" t="s">
        <v>186</v>
      </c>
      <c r="G65" s="6" t="s">
        <v>83</v>
      </c>
      <c r="H65" s="2" t="s">
        <v>15</v>
      </c>
    </row>
    <row r="66" customFormat="false" ht="22.35" hidden="false" customHeight="false" outlineLevel="0" collapsed="false">
      <c r="A66" s="2" t="s">
        <v>8</v>
      </c>
      <c r="B66" s="2" t="s">
        <v>187</v>
      </c>
      <c r="C66" s="2" t="s">
        <v>10</v>
      </c>
      <c r="D66" s="2" t="s">
        <v>173</v>
      </c>
      <c r="E66" s="2" t="s">
        <v>45</v>
      </c>
      <c r="F66" s="2" t="s">
        <v>188</v>
      </c>
      <c r="G66" s="6" t="s">
        <v>83</v>
      </c>
      <c r="H66" s="2" t="s">
        <v>15</v>
      </c>
    </row>
    <row r="67" customFormat="false" ht="22.35" hidden="false" customHeight="false" outlineLevel="0" collapsed="false">
      <c r="A67" s="2" t="s">
        <v>30</v>
      </c>
      <c r="B67" s="2" t="s">
        <v>189</v>
      </c>
      <c r="C67" s="2" t="s">
        <v>32</v>
      </c>
      <c r="D67" s="2" t="s">
        <v>173</v>
      </c>
      <c r="E67" s="2" t="s">
        <v>45</v>
      </c>
      <c r="F67" s="2" t="s">
        <v>190</v>
      </c>
      <c r="G67" s="7" t="s">
        <v>105</v>
      </c>
      <c r="H67" s="2" t="s">
        <v>191</v>
      </c>
    </row>
    <row r="68" customFormat="false" ht="15" hidden="false" customHeight="false" outlineLevel="0" collapsed="false">
      <c r="A68" s="2" t="s">
        <v>30</v>
      </c>
      <c r="B68" s="2" t="s">
        <v>192</v>
      </c>
      <c r="C68" s="2" t="s">
        <v>32</v>
      </c>
      <c r="D68" s="2" t="s">
        <v>173</v>
      </c>
      <c r="E68" s="2" t="s">
        <v>45</v>
      </c>
      <c r="F68" s="2" t="s">
        <v>193</v>
      </c>
      <c r="G68" s="6" t="s">
        <v>83</v>
      </c>
      <c r="H68" s="2" t="s">
        <v>15</v>
      </c>
    </row>
    <row r="69" customFormat="false" ht="22.35" hidden="false" customHeight="false" outlineLevel="0" collapsed="false">
      <c r="A69" s="2" t="s">
        <v>122</v>
      </c>
      <c r="B69" s="2" t="s">
        <v>194</v>
      </c>
      <c r="C69" s="2" t="s">
        <v>124</v>
      </c>
      <c r="D69" s="2" t="s">
        <v>68</v>
      </c>
      <c r="E69" s="2" t="s">
        <v>45</v>
      </c>
      <c r="F69" s="2" t="s">
        <v>195</v>
      </c>
      <c r="G69" s="6" t="s">
        <v>83</v>
      </c>
      <c r="H69" s="2" t="s">
        <v>15</v>
      </c>
    </row>
    <row r="70" customFormat="false" ht="22.35" hidden="false" customHeight="false" outlineLevel="0" collapsed="false">
      <c r="A70" s="2" t="s">
        <v>122</v>
      </c>
      <c r="B70" s="2" t="s">
        <v>196</v>
      </c>
      <c r="C70" s="2" t="s">
        <v>124</v>
      </c>
      <c r="D70" s="2" t="s">
        <v>68</v>
      </c>
      <c r="E70" s="2" t="s">
        <v>45</v>
      </c>
      <c r="F70" s="2" t="s">
        <v>197</v>
      </c>
      <c r="G70" s="6" t="s">
        <v>83</v>
      </c>
      <c r="H70" s="2" t="s">
        <v>15</v>
      </c>
    </row>
    <row r="71" customFormat="false" ht="22.35" hidden="false" customHeight="false" outlineLevel="0" collapsed="false">
      <c r="A71" s="2" t="s">
        <v>122</v>
      </c>
      <c r="B71" s="2" t="s">
        <v>198</v>
      </c>
      <c r="C71" s="2" t="s">
        <v>124</v>
      </c>
      <c r="D71" s="2" t="s">
        <v>68</v>
      </c>
      <c r="E71" s="2" t="s">
        <v>45</v>
      </c>
      <c r="F71" s="2" t="s">
        <v>199</v>
      </c>
      <c r="G71" s="6" t="s">
        <v>83</v>
      </c>
      <c r="H71" s="2" t="s">
        <v>15</v>
      </c>
    </row>
    <row r="72" customFormat="false" ht="22.35" hidden="false" customHeight="false" outlineLevel="0" collapsed="false">
      <c r="A72" s="2" t="s">
        <v>122</v>
      </c>
      <c r="B72" s="2" t="s">
        <v>200</v>
      </c>
      <c r="C72" s="2" t="s">
        <v>124</v>
      </c>
      <c r="D72" s="2" t="s">
        <v>68</v>
      </c>
      <c r="E72" s="2" t="s">
        <v>45</v>
      </c>
      <c r="F72" s="2" t="s">
        <v>201</v>
      </c>
      <c r="G72" s="6" t="s">
        <v>83</v>
      </c>
      <c r="H72" s="2" t="s">
        <v>202</v>
      </c>
    </row>
    <row r="73" customFormat="false" ht="22.35" hidden="false" customHeight="false" outlineLevel="0" collapsed="false">
      <c r="A73" s="2" t="s">
        <v>122</v>
      </c>
      <c r="B73" s="2" t="s">
        <v>203</v>
      </c>
      <c r="C73" s="2" t="s">
        <v>124</v>
      </c>
      <c r="D73" s="2" t="s">
        <v>68</v>
      </c>
      <c r="E73" s="2" t="s">
        <v>45</v>
      </c>
      <c r="F73" s="2" t="s">
        <v>204</v>
      </c>
      <c r="G73" s="6" t="s">
        <v>83</v>
      </c>
      <c r="H73" s="2" t="s">
        <v>15</v>
      </c>
    </row>
    <row r="74" customFormat="false" ht="22.35" hidden="false" customHeight="false" outlineLevel="0" collapsed="false">
      <c r="A74" s="2" t="s">
        <v>122</v>
      </c>
      <c r="B74" s="2" t="s">
        <v>205</v>
      </c>
      <c r="C74" s="2" t="s">
        <v>124</v>
      </c>
      <c r="D74" s="2" t="s">
        <v>68</v>
      </c>
      <c r="E74" s="2" t="s">
        <v>45</v>
      </c>
      <c r="F74" s="2" t="s">
        <v>206</v>
      </c>
      <c r="G74" s="6" t="s">
        <v>83</v>
      </c>
      <c r="H74" s="2" t="s">
        <v>15</v>
      </c>
    </row>
    <row r="75" customFormat="false" ht="22.35" hidden="false" customHeight="false" outlineLevel="0" collapsed="false">
      <c r="A75" s="2" t="s">
        <v>35</v>
      </c>
      <c r="B75" s="2" t="s">
        <v>207</v>
      </c>
      <c r="C75" s="2" t="s">
        <v>58</v>
      </c>
      <c r="D75" s="2" t="s">
        <v>68</v>
      </c>
      <c r="E75" s="2" t="s">
        <v>45</v>
      </c>
      <c r="F75" s="2" t="s">
        <v>208</v>
      </c>
      <c r="G75" s="6" t="s">
        <v>83</v>
      </c>
      <c r="H75" s="2" t="s">
        <v>15</v>
      </c>
    </row>
    <row r="76" customFormat="false" ht="22.35" hidden="false" customHeight="false" outlineLevel="0" collapsed="false">
      <c r="A76" s="2" t="s">
        <v>30</v>
      </c>
      <c r="B76" s="2" t="s">
        <v>209</v>
      </c>
      <c r="C76" s="2" t="s">
        <v>32</v>
      </c>
      <c r="D76" s="2" t="s">
        <v>11</v>
      </c>
      <c r="E76" s="2" t="s">
        <v>45</v>
      </c>
      <c r="F76" s="2" t="s">
        <v>210</v>
      </c>
      <c r="G76" s="6" t="s">
        <v>83</v>
      </c>
      <c r="H76" s="2" t="s">
        <v>211</v>
      </c>
    </row>
    <row r="77" customFormat="false" ht="22.35" hidden="false" customHeight="false" outlineLevel="0" collapsed="false">
      <c r="A77" s="2" t="s">
        <v>60</v>
      </c>
      <c r="B77" s="2" t="s">
        <v>212</v>
      </c>
      <c r="C77" s="2" t="s">
        <v>213</v>
      </c>
      <c r="D77" s="2" t="s">
        <v>11</v>
      </c>
      <c r="E77" s="2" t="s">
        <v>45</v>
      </c>
      <c r="F77" s="2" t="s">
        <v>214</v>
      </c>
      <c r="G77" s="6" t="s">
        <v>83</v>
      </c>
      <c r="H77" s="2" t="s">
        <v>215</v>
      </c>
    </row>
    <row r="78" customFormat="false" ht="22.35" hidden="false" customHeight="false" outlineLevel="0" collapsed="false">
      <c r="A78" s="2" t="s">
        <v>60</v>
      </c>
      <c r="B78" s="2" t="s">
        <v>216</v>
      </c>
      <c r="C78" s="2" t="s">
        <v>213</v>
      </c>
      <c r="D78" s="2" t="s">
        <v>68</v>
      </c>
      <c r="E78" s="2" t="s">
        <v>45</v>
      </c>
      <c r="F78" s="2" t="s">
        <v>217</v>
      </c>
      <c r="G78" s="6" t="s">
        <v>83</v>
      </c>
      <c r="H78" s="2" t="s">
        <v>15</v>
      </c>
    </row>
    <row r="79" customFormat="false" ht="22.35" hidden="false" customHeight="false" outlineLevel="0" collapsed="false">
      <c r="A79" s="2" t="s">
        <v>76</v>
      </c>
      <c r="B79" s="2" t="s">
        <v>218</v>
      </c>
      <c r="C79" s="2" t="s">
        <v>219</v>
      </c>
      <c r="D79" s="2" t="s">
        <v>68</v>
      </c>
      <c r="E79" s="2" t="s">
        <v>45</v>
      </c>
      <c r="F79" s="2" t="s">
        <v>220</v>
      </c>
      <c r="G79" s="6" t="s">
        <v>83</v>
      </c>
      <c r="H79" s="2" t="s">
        <v>15</v>
      </c>
    </row>
    <row r="80" customFormat="false" ht="22.35" hidden="false" customHeight="false" outlineLevel="0" collapsed="false">
      <c r="A80" s="2" t="s">
        <v>35</v>
      </c>
      <c r="B80" s="2" t="s">
        <v>221</v>
      </c>
      <c r="C80" s="2" t="s">
        <v>222</v>
      </c>
      <c r="D80" s="2" t="s">
        <v>68</v>
      </c>
      <c r="E80" s="2" t="s">
        <v>45</v>
      </c>
      <c r="F80" s="2" t="s">
        <v>223</v>
      </c>
      <c r="G80" s="6" t="s">
        <v>83</v>
      </c>
      <c r="H80" s="2" t="s">
        <v>15</v>
      </c>
    </row>
  </sheetData>
  <autoFilter ref="A1:H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6" min="3" style="0" width="18"/>
  </cols>
  <sheetData>
    <row r="1" customFormat="false" ht="15" hidden="false" customHeight="false" outlineLevel="0" collapsed="false">
      <c r="A1" s="8" t="s">
        <v>224</v>
      </c>
    </row>
    <row r="3" customFormat="false" ht="15" hidden="false" customHeight="false" outlineLevel="0" collapsed="false">
      <c r="A3" s="9" t="s">
        <v>6</v>
      </c>
      <c r="B3" s="9" t="s">
        <v>225</v>
      </c>
    </row>
    <row r="4" customFormat="false" ht="15" hidden="false" customHeight="false" outlineLevel="0" collapsed="false">
      <c r="A4" s="10" t="s">
        <v>14</v>
      </c>
      <c r="B4" s="11" t="n">
        <f aca="false">COUNTIF('Plan de Trabajo'!$G$2:$G$80,A4)</f>
        <v>24</v>
      </c>
    </row>
    <row r="5" customFormat="false" ht="15" hidden="false" customHeight="false" outlineLevel="0" collapsed="false">
      <c r="A5" s="12" t="s">
        <v>28</v>
      </c>
      <c r="B5" s="11" t="n">
        <f aca="false">COUNTIF('Plan de Trabajo'!$G$2:$G$80,A5)</f>
        <v>9</v>
      </c>
    </row>
    <row r="6" customFormat="false" ht="15" hidden="false" customHeight="false" outlineLevel="0" collapsed="false">
      <c r="A6" s="13" t="s">
        <v>47</v>
      </c>
      <c r="B6" s="11" t="n">
        <f aca="false">COUNTIF('Plan de Trabajo'!$G$2:$G$80,A6)</f>
        <v>13</v>
      </c>
    </row>
    <row r="7" customFormat="false" ht="15" hidden="false" customHeight="false" outlineLevel="0" collapsed="false">
      <c r="A7" s="14" t="s">
        <v>83</v>
      </c>
      <c r="B7" s="11" t="n">
        <f aca="false">COUNTIF('Plan de Trabajo'!$G$2:$G$80,A7)</f>
        <v>30</v>
      </c>
    </row>
    <row r="8" customFormat="false" ht="15" hidden="false" customHeight="false" outlineLevel="0" collapsed="false">
      <c r="A8" s="15" t="s">
        <v>105</v>
      </c>
      <c r="B8" s="11" t="n">
        <f aca="false">COUNTIF('Plan de Trabajo'!$G$2:$G$80,A8)</f>
        <v>3</v>
      </c>
    </row>
    <row r="9" customFormat="false" ht="15" hidden="false" customHeight="false" outlineLevel="0" collapsed="false">
      <c r="A9" s="16" t="s">
        <v>226</v>
      </c>
      <c r="B9" s="16" t="n">
        <f aca="false">SUM(B4:B8)</f>
        <v>79</v>
      </c>
    </row>
    <row r="11" customFormat="false" ht="15" hidden="false" customHeight="true" outlineLevel="0" collapsed="false">
      <c r="A11" s="17" t="s">
        <v>227</v>
      </c>
      <c r="B11" s="17"/>
      <c r="C11" s="17"/>
      <c r="D11" s="17"/>
      <c r="E11" s="17"/>
      <c r="F11" s="17"/>
    </row>
    <row r="12" customFormat="false" ht="30" hidden="false" customHeight="true" outlineLevel="0" collapsed="false">
      <c r="A12" s="18" t="s">
        <v>228</v>
      </c>
      <c r="B12" s="18"/>
      <c r="C12" s="18"/>
      <c r="D12" s="18"/>
      <c r="E12" s="18"/>
      <c r="F12" s="18"/>
    </row>
    <row r="13" customFormat="false" ht="30" hidden="false" customHeight="true" outlineLevel="0" collapsed="false">
      <c r="A13" s="18" t="s">
        <v>229</v>
      </c>
      <c r="B13" s="18"/>
      <c r="C13" s="18"/>
      <c r="D13" s="18"/>
      <c r="E13" s="18"/>
      <c r="F13" s="18"/>
    </row>
    <row r="14" customFormat="false" ht="30" hidden="false" customHeight="true" outlineLevel="0" collapsed="false">
      <c r="A14" s="18" t="s">
        <v>230</v>
      </c>
      <c r="B14" s="18"/>
      <c r="C14" s="18"/>
      <c r="D14" s="18"/>
      <c r="E14" s="18"/>
      <c r="F14" s="18"/>
    </row>
    <row r="15" customFormat="false" ht="30" hidden="false" customHeight="true" outlineLevel="0" collapsed="false">
      <c r="A15" s="18" t="s">
        <v>231</v>
      </c>
      <c r="B15" s="18"/>
      <c r="C15" s="18"/>
      <c r="D15" s="18"/>
      <c r="E15" s="18"/>
      <c r="F15" s="18"/>
    </row>
    <row r="16" customFormat="false" ht="30" hidden="false" customHeight="true" outlineLevel="0" collapsed="false">
      <c r="A16" s="18" t="s">
        <v>232</v>
      </c>
      <c r="B16" s="18"/>
      <c r="C16" s="18"/>
      <c r="D16" s="18"/>
      <c r="E16" s="18"/>
      <c r="F16" s="18"/>
    </row>
    <row r="17" customFormat="false" ht="30" hidden="false" customHeight="true" outlineLevel="0" collapsed="false">
      <c r="A17" s="18" t="s">
        <v>233</v>
      </c>
      <c r="B17" s="18"/>
      <c r="C17" s="18"/>
      <c r="D17" s="18"/>
      <c r="E17" s="18"/>
      <c r="F17" s="18"/>
    </row>
    <row r="18" customFormat="false" ht="30" hidden="false" customHeight="true" outlineLevel="0" collapsed="false">
      <c r="A18" s="18" t="s">
        <v>234</v>
      </c>
      <c r="B18" s="18"/>
      <c r="C18" s="18"/>
      <c r="D18" s="18"/>
      <c r="E18" s="18"/>
      <c r="F18" s="18"/>
    </row>
  </sheetData>
  <mergeCells count="8">
    <mergeCell ref="A11:F11"/>
    <mergeCell ref="A12:F12"/>
    <mergeCell ref="A13:F13"/>
    <mergeCell ref="A14:F14"/>
    <mergeCell ref="A15:F15"/>
    <mergeCell ref="A16:F16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2026-10-24T12:05:40Z</dcterms:created>
  <dc:creator>openpyxl</dc:creator>
  <dc:description/>
  <dc:language>en-US</dc:language>
  <cp:lastModifiedBy/>
  <dcterms:modified xsi:type="dcterms:W3CDTF">2026-10-24T12:05:40Z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